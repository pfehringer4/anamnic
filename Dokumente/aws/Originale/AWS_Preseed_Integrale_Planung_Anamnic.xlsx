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defaultThemeVersion="124226"/>
  <xr:revisionPtr revIDLastSave="0" documentId="13_ncr:1_{9B599215-B7A2-45E8-AB90-A7563B634449}" xr6:coauthVersionLast="47" xr6:coauthVersionMax="47" xr10:uidLastSave="{00000000-0000-0000-0000-000000000000}"/>
  <bookViews>
    <workbookView xWindow="-28920" yWindow="2730" windowWidth="29040" windowHeight="15720" tabRatio="668" xr2:uid="{00000000-000D-0000-FFFF-FFFF00000000}"/>
  </bookViews>
  <sheets>
    <sheet name="Integrale Planung" sheetId="1" r:id="rId1"/>
    <sheet name="Kostenerfassung" sheetId="2" r:id="rId2"/>
  </sheets>
  <definedNames>
    <definedName name="_xlnm.Print_Area" localSheetId="0">'Integrale Planung'!$A$2:$O$99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5" i="1" l="1"/>
  <c r="N75" i="1"/>
  <c r="M75" i="1"/>
  <c r="L75" i="1"/>
  <c r="K75" i="1"/>
  <c r="J75" i="1"/>
  <c r="I75" i="1"/>
  <c r="H75" i="1"/>
  <c r="G75" i="1"/>
  <c r="F75" i="1"/>
  <c r="E75" i="1"/>
  <c r="D75" i="1"/>
  <c r="C92" i="1"/>
  <c r="O94" i="1"/>
  <c r="O88" i="1"/>
  <c r="O89" i="1"/>
  <c r="O80" i="1" l="1"/>
  <c r="O84" i="1"/>
  <c r="O70" i="1"/>
  <c r="O71" i="1"/>
  <c r="O90" i="1"/>
  <c r="I4" i="2" s="1"/>
  <c r="O81" i="1"/>
  <c r="O82" i="1"/>
  <c r="O83" i="1"/>
  <c r="I23" i="2" l="1"/>
  <c r="F23" i="2"/>
  <c r="C23" i="2"/>
  <c r="O67" i="1" l="1"/>
  <c r="I65" i="1" l="1"/>
  <c r="H65" i="1"/>
  <c r="I92" i="1"/>
  <c r="H92" i="1"/>
  <c r="K92" i="1"/>
  <c r="K65" i="1"/>
  <c r="L92" i="1"/>
  <c r="L65" i="1"/>
  <c r="M65" i="1"/>
  <c r="M92" i="1"/>
  <c r="O95" i="1" l="1"/>
  <c r="O93" i="1"/>
  <c r="O76" i="1"/>
  <c r="O77" i="1"/>
  <c r="O78" i="1"/>
  <c r="O79" i="1"/>
  <c r="O85" i="1"/>
  <c r="O86" i="1"/>
  <c r="C4" i="2" s="1"/>
  <c r="O87" i="1"/>
  <c r="F4" i="2" s="1"/>
  <c r="L4" i="2" l="1"/>
  <c r="O69" i="1"/>
  <c r="O72" i="1"/>
  <c r="C65" i="1"/>
  <c r="D65" i="1"/>
  <c r="E65" i="1"/>
  <c r="F65" i="1"/>
  <c r="G65" i="1"/>
  <c r="J65" i="1"/>
  <c r="N65" i="1"/>
  <c r="D92" i="1"/>
  <c r="E92" i="1"/>
  <c r="F92" i="1"/>
  <c r="G92" i="1"/>
  <c r="J92" i="1"/>
  <c r="N92" i="1"/>
  <c r="O66" i="1"/>
  <c r="O68" i="1"/>
  <c r="O73" i="1"/>
  <c r="D3" i="1"/>
  <c r="E3" i="1" s="1"/>
  <c r="F3" i="1" s="1"/>
  <c r="O75" i="1" l="1"/>
  <c r="E96" i="1"/>
  <c r="I96" i="1"/>
  <c r="H96" i="1"/>
  <c r="G3" i="1"/>
  <c r="H3" i="1" s="1"/>
  <c r="I3" i="1" s="1"/>
  <c r="J3" i="1" s="1"/>
  <c r="K3" i="1" s="1"/>
  <c r="L3" i="1" s="1"/>
  <c r="M3" i="1" s="1"/>
  <c r="N3" i="1" s="1"/>
  <c r="K96" i="1"/>
  <c r="L96" i="1"/>
  <c r="M96" i="1"/>
  <c r="O92" i="1"/>
  <c r="C96" i="1"/>
  <c r="O65" i="1"/>
  <c r="F96" i="1"/>
  <c r="J96" i="1"/>
  <c r="G96" i="1"/>
  <c r="D96" i="1"/>
  <c r="N96" i="1"/>
  <c r="O9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3" authorId="0" shapeId="0" xr:uid="{00000000-0006-0000-0000-000001000000}">
      <text>
        <r>
          <rPr>
            <sz val="10"/>
            <color indexed="81"/>
            <rFont val="Arial"/>
            <family val="2"/>
          </rPr>
          <t>Aktuelles Datum eintragen</t>
        </r>
      </text>
    </comment>
    <comment ref="C3" authorId="0" shapeId="0" xr:uid="{00000000-0006-0000-0000-000002000000}">
      <text>
        <r>
          <rPr>
            <sz val="10"/>
            <color indexed="81"/>
            <rFont val="Tahoma"/>
            <family val="2"/>
          </rPr>
          <t>S</t>
        </r>
        <r>
          <rPr>
            <sz val="10"/>
            <color indexed="81"/>
            <rFont val="Arial"/>
            <family val="2"/>
          </rPr>
          <t xml:space="preserve">tartmonat hier eintragen = Beginn des Förderzeitraums (Dauer max. 12 Monate)
Empfehlung: Planen Sie den Beginn etwa 2-3 Monate nach Antragsdatum (durchschnittliche Dauer bis zum Förderentscheid) 
</t>
        </r>
      </text>
    </comment>
    <comment ref="B5" authorId="0" shapeId="0" xr:uid="{5E687D56-43B6-4AC0-916B-95B0A6E3A7BF}">
      <text>
        <r>
          <rPr>
            <sz val="10"/>
            <color indexed="81"/>
            <rFont val="Arail"/>
          </rPr>
          <t xml:space="preserve">Ziele für Meilenstein 1 sind vorgegeben und nicht zeitlich </t>
        </r>
        <r>
          <rPr>
            <sz val="10"/>
            <color indexed="81"/>
            <rFont val="Segoe UI"/>
            <family val="2"/>
          </rPr>
          <t>zuzuordnen</t>
        </r>
        <r>
          <rPr>
            <sz val="10"/>
            <color indexed="81"/>
            <rFont val="Arial"/>
            <family val="2"/>
          </rPr>
          <t>!</t>
        </r>
      </text>
    </comment>
    <comment ref="B7" authorId="0" shapeId="0" xr:uid="{00000000-0006-0000-0000-000005000000}">
      <text>
        <r>
          <rPr>
            <sz val="10"/>
            <color indexed="81"/>
            <rFont val="Arial"/>
            <family val="2"/>
          </rPr>
          <t>Im Falle einer Zusage erhalten Sie von der aws ein Förderungsanbot. 
Der Förderungsvertrag kommt durch Ihre Unterzeichnung zustande.</t>
        </r>
      </text>
    </comment>
    <comment ref="B12" authorId="0" shapeId="0" xr:uid="{CB60CCC2-7E87-422A-841E-DE05D969D272}">
      <text>
        <r>
          <rPr>
            <sz val="10"/>
            <color indexed="81"/>
            <rFont val="Arial"/>
            <family val="2"/>
          </rPr>
          <t xml:space="preserve">Tragen Sie </t>
        </r>
        <r>
          <rPr>
            <b/>
            <sz val="10"/>
            <color indexed="81"/>
            <rFont val="Arial"/>
            <family val="2"/>
          </rPr>
          <t xml:space="preserve">pro Themenfeld mindestens ein messbares Ziel </t>
        </r>
        <r>
          <rPr>
            <sz val="10"/>
            <color indexed="81"/>
            <rFont val="Arial"/>
            <family val="2"/>
          </rPr>
          <t>ein.</t>
        </r>
        <r>
          <rPr>
            <b/>
            <sz val="10"/>
            <color indexed="81"/>
            <rFont val="Arial"/>
            <family val="2"/>
          </rPr>
          <t xml:space="preserve"> </t>
        </r>
        <r>
          <rPr>
            <sz val="10"/>
            <color indexed="81"/>
            <rFont val="Arial"/>
            <family val="2"/>
          </rPr>
          <t xml:space="preserve">
Wenn Sie mehrere Ziele bei einem Themenfeld eintragen möchten, können Sie weitere Zeilen einfügen. 
Pro Ziel ist anzugeben, in welcher Form Sie den Nachweis zur Zielerreichung erbringen werden.
Markieren Sie mit einem </t>
        </r>
        <r>
          <rPr>
            <b/>
            <sz val="10"/>
            <color indexed="81"/>
            <rFont val="Arial"/>
            <family val="2"/>
          </rPr>
          <t>x</t>
        </r>
        <r>
          <rPr>
            <sz val="10"/>
            <color indexed="81"/>
            <rFont val="Arial"/>
            <family val="2"/>
          </rPr>
          <t xml:space="preserve"> die Monate, in denen Sie an der jeweiligen Zielerreichung arbeiten.
Markieren Sie mit einem </t>
        </r>
        <r>
          <rPr>
            <b/>
            <sz val="10"/>
            <color indexed="81"/>
            <rFont val="Arial"/>
            <family val="2"/>
          </rPr>
          <t>m</t>
        </r>
        <r>
          <rPr>
            <sz val="10"/>
            <color indexed="81"/>
            <rFont val="Arial"/>
            <family val="2"/>
          </rPr>
          <t>, wann das Ziel erreicht werden soll.</t>
        </r>
      </text>
    </comment>
    <comment ref="B37" authorId="0" shapeId="0" xr:uid="{A1766851-5B2C-4B70-BEB9-9BB1233808CA}">
      <text>
        <r>
          <rPr>
            <sz val="10"/>
            <color indexed="81"/>
            <rFont val="Arial"/>
            <family val="2"/>
          </rPr>
          <t xml:space="preserve">Zum Zeitpunkt der Abrechnung der 2. Tranche müssen mindestens 50% der Gesamtkosten getätigt worden sein. </t>
        </r>
        <r>
          <rPr>
            <sz val="9"/>
            <color indexed="81"/>
            <rFont val="Segoe UI"/>
            <charset val="1"/>
          </rPr>
          <t xml:space="preserve">
</t>
        </r>
      </text>
    </comment>
    <comment ref="B39" authorId="0" shapeId="0" xr:uid="{0DE513C8-1C42-4722-A0A4-D298C4DBC15C}">
      <text>
        <r>
          <rPr>
            <sz val="10"/>
            <color indexed="81"/>
            <rFont val="Arial"/>
            <family val="2"/>
          </rPr>
          <t xml:space="preserve">Tragen Sie </t>
        </r>
        <r>
          <rPr>
            <b/>
            <sz val="10"/>
            <color indexed="81"/>
            <rFont val="Arial"/>
            <family val="2"/>
          </rPr>
          <t>pro Themenfeld mindestens ein messbares Ziel</t>
        </r>
        <r>
          <rPr>
            <sz val="10"/>
            <color indexed="81"/>
            <rFont val="Arial"/>
            <family val="2"/>
          </rPr>
          <t xml:space="preserve"> ein. 
Wenn Sie mehrere Ziele bei einem Themenfeld eintragen möchten, können Sie weitere Zeilen einfügen. 
Pro Ziel ist anzugeben, in welcher Form Sie den Nachweis zur Zielerreichung erbringen werden.
Markieren Sie mit einem </t>
        </r>
        <r>
          <rPr>
            <b/>
            <sz val="10"/>
            <color indexed="81"/>
            <rFont val="Arial"/>
            <family val="2"/>
          </rPr>
          <t>x</t>
        </r>
        <r>
          <rPr>
            <sz val="10"/>
            <color indexed="81"/>
            <rFont val="Arial"/>
            <family val="2"/>
          </rPr>
          <t xml:space="preserve"> die Monate, in denen Sie an der jeweiligen Zielerreichung arbeiten.
Markieren Sie mit einem </t>
        </r>
        <r>
          <rPr>
            <b/>
            <sz val="10"/>
            <color indexed="81"/>
            <rFont val="Arial"/>
            <family val="2"/>
          </rPr>
          <t>m</t>
        </r>
        <r>
          <rPr>
            <sz val="10"/>
            <color indexed="81"/>
            <rFont val="Arial"/>
            <family val="2"/>
          </rPr>
          <t>, wann das Ziel erreicht werden soll.</t>
        </r>
      </text>
    </comment>
    <comment ref="A65" authorId="0" shapeId="0" xr:uid="{1FE9AB9C-3F30-49BB-B199-06733C54B222}">
      <text>
        <r>
          <rPr>
            <sz val="10"/>
            <color indexed="81"/>
            <rFont val="Arial"/>
            <family val="2"/>
          </rPr>
          <t>Tragen Sie hier sämtliche am Vorhaben tätige Personen ein (Gründungsteam und Dienstnehmer*innen), auch wenn die Kosten nicht dem Fördervorhaben angerechnet werden sollen.
Erfassen Sie das Arbeitsausmaß pro Monat pro Person.
Vollzeitäquivalent
1 = Vollzeit
0,6 = 60%
etc.</t>
        </r>
      </text>
    </comment>
    <comment ref="A75" authorId="0" shapeId="0" xr:uid="{88C49DE5-F308-460A-8D87-D087368A3C8A}">
      <text>
        <r>
          <rPr>
            <sz val="10"/>
            <color indexed="81"/>
            <rFont val="Arial"/>
            <family val="2"/>
          </rPr>
          <t>Tragen Sie hier nur jene Kosten ein, die dem Fördervorhaben angerechnet werden sollen. 
Zur Aufschlüsselung der Kosten beachten Sie auch  Tabelle 2 "Kostenerfassung".</t>
        </r>
      </text>
    </comment>
    <comment ref="A76" authorId="0" shapeId="0" xr:uid="{9E2870F8-BBF2-4911-B906-BEA6D7706CF8}">
      <text>
        <r>
          <rPr>
            <sz val="10"/>
            <color indexed="81"/>
            <rFont val="Arial"/>
            <family val="2"/>
          </rPr>
          <t>Bezüge der (zukünftigen) Gesellschafter*innen: Eigenentnahmen / Honorare oder Gehaltskosten 
im Falle einer Anstellung (Arbeitgeberbrutto inkl. Sonderzahlungen).
Richtwert: € 4.000 - € 6.500 / Monat (max. 14 x pro Jahr) je nach Qualifikation und Erfahrung 
Hinweis: Die Bezüge des Gründungsteams werden mit den vertraglich bewilligten Kosten gedeckelt (im Einzelnen und in Summe). Eine spätere Erhöhung ist also nicht möglich (auch im Falle einer Laufzeitstreckung).</t>
        </r>
      </text>
    </comment>
    <comment ref="B80" authorId="0" shapeId="0" xr:uid="{4AAEA14D-A6E7-4B2E-BF92-FD6CA5F2DD7D}">
      <text>
        <r>
          <rPr>
            <sz val="10"/>
            <color indexed="81"/>
            <rFont val="Arial"/>
            <family val="2"/>
          </rPr>
          <t>Für weitere Personen fügen Sie oberhalb weitere Zeilen ein, damit die Formeln im nächsten Reiter weiterhin funktionieren.</t>
        </r>
      </text>
    </comment>
    <comment ref="A81" authorId="0" shapeId="0" xr:uid="{FC291B86-0778-47CB-878F-E50F0DB46982}">
      <text>
        <r>
          <rPr>
            <sz val="10"/>
            <color indexed="81"/>
            <rFont val="Arial"/>
            <family val="2"/>
          </rPr>
          <t>Gehaltskosten von Angestellten (Arbeitgeberbrutto inkl. Sonderzahlungen)</t>
        </r>
      </text>
    </comment>
    <comment ref="B85" authorId="0" shapeId="0" xr:uid="{2DA220FA-913D-4D3F-8F1A-7A7310FA0114}">
      <text>
        <r>
          <rPr>
            <sz val="10"/>
            <color indexed="81"/>
            <rFont val="Arial"/>
            <family val="2"/>
          </rPr>
          <t>Für weitere Personen fügen Sie oberhalb weitere Zeilen ein, damit die Formeln im nächsten Reiter weiterhin funktionieren.</t>
        </r>
      </text>
    </comment>
    <comment ref="B86" authorId="0" shapeId="0" xr:uid="{6CD1E570-5F59-42CA-A69A-10ACB8955E55}">
      <text>
        <r>
          <rPr>
            <sz val="10"/>
            <color indexed="81"/>
            <rFont val="Arial"/>
            <family val="2"/>
          </rPr>
          <t xml:space="preserve">Sie können bei Investitionen die Abschreibungen für Aufwendungen (AfA) der Investitionen für die Projektlaufzeit ansetzen. </t>
        </r>
        <r>
          <rPr>
            <sz val="9"/>
            <color indexed="81"/>
            <rFont val="Segoe UI"/>
            <family val="2"/>
          </rPr>
          <t xml:space="preserve">
</t>
        </r>
      </text>
    </comment>
    <comment ref="B93" authorId="0" shapeId="0" xr:uid="{825BFB96-571F-4C1B-BADB-33DD3F979A97}">
      <text>
        <r>
          <rPr>
            <sz val="10"/>
            <color indexed="81"/>
            <rFont val="Arial"/>
            <family val="2"/>
          </rPr>
          <t>Für das Fördervorhaben einbezahltes Kapital aus den persönlichen Finanzmitteln des Gründungsteams - 
keine fiktiven Gehälter oder Querfinanzierungen mit anderen Förderungen!</t>
        </r>
      </text>
    </comment>
    <comment ref="B94" authorId="0" shapeId="0" xr:uid="{42AF92E4-58DA-4268-BE72-EA8FD448B272}">
      <text>
        <r>
          <rPr>
            <sz val="9"/>
            <color indexed="81"/>
            <rFont val="Arial"/>
            <family val="2"/>
          </rPr>
          <t>Sonstige Finanzmittel zur Finanzierung des Vorhabens z.B. Guthaben aus vergangenen Erlösen oder aus Fremdmitteln (z.B. Betriebsmittelkredit bzw. sonstige Kredite, Wandeldarlehen, Überziehungsrahmen, Venture Capital)</t>
        </r>
      </text>
    </comment>
    <comment ref="B95" authorId="0" shapeId="0" xr:uid="{00000000-0006-0000-0000-00000E000000}">
      <text>
        <r>
          <rPr>
            <sz val="10"/>
            <color indexed="81"/>
            <rFont val="Arial"/>
            <family val="2"/>
          </rPr>
          <t>Teilen Sie die beantragte Zuschusshöhe in 3 fixe Tranchen auf (40%:40%:20%). 
Die Auszahlung der 1. Tranche erfolgt nach dem 1. Meilenstein, die 2. Tranche etwa zur Mitte der Laufzeit nach dem 2. Meilenstein, die Auszahlung der 3. und somit letzten Tranche nach erfolgreichem Abschluss und abgenommenem Kostennachweis. Bitte beachten Sie: Die dritte Tranche ist somit vorzufinanzieren! 
Bitte die Tranchen synchron mit den im oberen Teil definierten Meilensteinen halten. Tragen Sie die 3. Tranche am Ende der Laufzeit ein.
Hinweis: Zum Zeitpunkt der Abrechnung der 2. Tranche müssen mindestens 50% der Gesamtkosten getätigt worden sein. Bitte beachten Sie außerdem, dass Sie für die Endabrechnung 2 Monate nach Laufzeitende Zeit haben und die tatsächliche Auszahlung erst nach der Endprüfung erfolgt.</t>
        </r>
      </text>
    </comment>
    <comment ref="O96" authorId="0" shapeId="0" xr:uid="{D73001BD-7393-4F42-BAB7-B9B78D4C1508}">
      <text>
        <r>
          <rPr>
            <sz val="10"/>
            <color indexed="81"/>
            <rFont val="Arial"/>
            <family val="2"/>
          </rPr>
          <t>Laut Förderrichtlinie darf das Projekt weder unter- noch überfinanziert sein. Dieses Feld muss daher 0 betragen!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4" authorId="0" shapeId="0" xr:uid="{30BA140C-0A72-4F28-96AF-F04E2746E364}">
      <text>
        <r>
          <rPr>
            <sz val="10"/>
            <color indexed="81"/>
            <rFont val="Arial"/>
            <family val="2"/>
          </rPr>
          <t>Summe der Sachkosten aus der integralen Planung.</t>
        </r>
      </text>
    </comment>
    <comment ref="F4" authorId="0" shapeId="0" xr:uid="{9EB1DA44-9252-45B2-BADB-D562D35D9F25}">
      <text>
        <r>
          <rPr>
            <sz val="10"/>
            <color indexed="81"/>
            <rFont val="Arial"/>
            <family val="2"/>
          </rPr>
          <t>Summe der Drittkosten aus der integralen Planung.</t>
        </r>
      </text>
    </comment>
    <comment ref="I4" authorId="0" shapeId="0" xr:uid="{C72AFE55-AEAF-4ACB-8F7B-05E615234D3A}">
      <text>
        <r>
          <rPr>
            <sz val="10"/>
            <color indexed="81"/>
            <rFont val="Arial"/>
            <family val="2"/>
          </rPr>
          <t>Summe der Sonstigen Kosten aus der integralen Planung.</t>
        </r>
      </text>
    </comment>
    <comment ref="L4" authorId="0" shapeId="0" xr:uid="{93858517-5402-4EE4-A27E-A946E4E9FBA2}">
      <text>
        <r>
          <rPr>
            <sz val="10"/>
            <color indexed="81"/>
            <rFont val="Arial"/>
            <family val="2"/>
          </rPr>
          <t>Summe der Personalkosten aus der integralen Planung. Falls Sie mehr als 8 Personen eingetragen haben, überprüfen Sie die Formel.</t>
        </r>
      </text>
    </comment>
    <comment ref="L6" authorId="0" shapeId="0" xr:uid="{EDC702A3-EB20-4FCA-A32E-AF238040EA10}">
      <text>
        <r>
          <rPr>
            <sz val="9"/>
            <color indexed="81"/>
            <rFont val="Segoe UI"/>
            <family val="2"/>
          </rPr>
          <t>z.B. Vollzeit angestellt, € 3.500 brutto pro Monat + Abgaben + 13./14. Gehalt ODER 
Geschäftsführerbezug etc.</t>
        </r>
      </text>
    </comment>
    <comment ref="C23" authorId="0" shapeId="0" xr:uid="{CA69AD33-17A0-40DE-9323-A0655AE6796C}">
      <text>
        <r>
          <rPr>
            <sz val="10"/>
            <color indexed="81"/>
            <rFont val="Arial"/>
            <family val="2"/>
          </rPr>
          <t>Summe der hier aufgelisteten Sachkosten - diese müssen mit den Sachkosten aus der integralen Planung übereinstimmen (s. oben).</t>
        </r>
      </text>
    </comment>
    <comment ref="F23" authorId="0" shapeId="0" xr:uid="{FD139CBF-9878-4751-9218-8CE2ACBBFDDB}">
      <text>
        <r>
          <rPr>
            <sz val="10"/>
            <color indexed="81"/>
            <rFont val="Arial"/>
            <family val="2"/>
          </rPr>
          <t>Summe der hier aufgelisteten Drittkosten - diese müssen mit den Sachkosten aus der integralen Planung übereinstimmen (s. oben).</t>
        </r>
      </text>
    </comment>
    <comment ref="I23" authorId="0" shapeId="0" xr:uid="{0CA1FF36-33E2-435E-BB3A-E5262940AE6B}">
      <text>
        <r>
          <rPr>
            <sz val="10"/>
            <color indexed="81"/>
            <rFont val="Arial"/>
            <family val="2"/>
          </rPr>
          <t>Summe der hier aufgelisteten sonstigen Kosten - diese müssen mit den sonstigen Kosten aus der integralen Planung übereinstimmen (s. oben).</t>
        </r>
      </text>
    </comment>
  </commentList>
</comments>
</file>

<file path=xl/sharedStrings.xml><?xml version="1.0" encoding="utf-8"?>
<sst xmlns="http://schemas.openxmlformats.org/spreadsheetml/2006/main" count="208" uniqueCount="105">
  <si>
    <t>Summe</t>
  </si>
  <si>
    <t>MITTELHERKUNFT      [in €]</t>
  </si>
  <si>
    <t>SALDO: Mittel - Kosten kumulativ    [in €]</t>
  </si>
  <si>
    <t>Tasks vor Vertragsunterzeichnung aws</t>
  </si>
  <si>
    <t>Kostennachweis (lt. Vorlage)</t>
  </si>
  <si>
    <t>Unterzeichnung Förderungsvertrag</t>
  </si>
  <si>
    <t>Ziele für Meilenstein 1</t>
  </si>
  <si>
    <t>Ziele für Meilenstein 2</t>
  </si>
  <si>
    <t>Ziele für Meilenstein 3</t>
  </si>
  <si>
    <t>Person 2</t>
  </si>
  <si>
    <t>Person 3</t>
  </si>
  <si>
    <t>Person 4</t>
  </si>
  <si>
    <t>Person 5</t>
  </si>
  <si>
    <t>Sonstige Kosten</t>
  </si>
  <si>
    <t>Sachkosten</t>
  </si>
  <si>
    <t>Drittkosten</t>
  </si>
  <si>
    <t>Voraussetzungen für Auszahlung 1. Tranche erfüllt</t>
  </si>
  <si>
    <t xml:space="preserve">Meilenstein 1 </t>
  </si>
  <si>
    <t>Meilenstein 2</t>
  </si>
  <si>
    <t>Voraussetzungen für Auszahlung 2. Tranche erfüllt</t>
  </si>
  <si>
    <t>Voraussetzungen für Auszahlung 3. Tranche erfüllt</t>
  </si>
  <si>
    <t>Meilenstein 3</t>
  </si>
  <si>
    <t>aws Preseed - Innovative Solutions Förderung (geplant)</t>
  </si>
  <si>
    <t>…</t>
  </si>
  <si>
    <t>Gesamtkosten</t>
  </si>
  <si>
    <t>INTEGRALE PLANUNG Preseed - Innovative Solutions</t>
  </si>
  <si>
    <t>GESAMTKOSTEN      [in €]</t>
  </si>
  <si>
    <t>Zwischenbericht (lt. Vorlage)</t>
  </si>
  <si>
    <t>Endbericht (lt. Vorlage)</t>
  </si>
  <si>
    <t>Die Integrale Planung ist eine wesentliche Grundlage für die Förderungsentscheidung und wird damit auch Teil des Förderungsvertrages.</t>
  </si>
  <si>
    <t>Bei wesentlichen Abweichungen ist ein Änderungantrag nötig.</t>
  </si>
  <si>
    <t>Mit Sachkosten werden materielle und immaterielle Investitionen bezeichnet, also Güter, die auch nach dem geförderten Projektzeitraum zur Gewinnerwirtschaftung verwendet werden können. Dazu zählen etwa Instrumente und Ausrüstung (Maschinen, Werkzeuge, Computer, Software, etc.), Schutz- und Lizenzrechte, Anlagen.</t>
  </si>
  <si>
    <t>Drittkosten sind von Dritten zugekaufte Dienstleistungen, wie z.B. IT-Entwicklung, Marktstudien und Marktforschung, Steuerberatung, Notariatsakt zur Unternehmensgründung, spezifische Beratungsleistung u.ä. Diese sind zur Gänze förderbar.</t>
  </si>
  <si>
    <t xml:space="preserve">Aktivierungsfähige Investitionsgüter sind generell in Höhe der Absetzung für Abnutzung (AfA) für die Dauer des Förderzeitraums aliquot förderbar.
Nicht aktivierungsfähige Investitionsgüter oder geringwertige Wirtschaftsgüter (GWG) können in vollem Umfang als förderbare Kosten angesetzt werden. </t>
  </si>
  <si>
    <t xml:space="preserve">Schlüsseln Sie die Kosten aus der integralen Planung hier näher auf. </t>
  </si>
  <si>
    <t>Personalkosten</t>
  </si>
  <si>
    <t>Person 6</t>
  </si>
  <si>
    <t>Person 7</t>
  </si>
  <si>
    <t>Person 8</t>
  </si>
  <si>
    <t>Person 8 …</t>
  </si>
  <si>
    <t>Personalkosten sind: 
- Bezüge von Gesellschafter*innen (Eigenentnahmen mit entsprechendem Beleg und Zahlungsfluss)
- Lohn- und Gehaltskosten von Angestellten und freien Dienstnehmer*innen (das tatsächlich geleistete Arbeitgeberbrutto, wobei Sonderzahlungen im entsprechenden Monat zu berücksichtigen sind)
- Honorare von Teammitgliedern (vor Gründung mit entsprechender Honorarnote an die Fördernehmer*in)</t>
  </si>
  <si>
    <t>Eröffnung eines vorhabenrelevanten Bankkontos</t>
  </si>
  <si>
    <t>Bestätigung 1. Meilenstein (lt. Vorlage) und Eigenmittelnachweis</t>
  </si>
  <si>
    <t>Hinweis: gelbe Felder sind zu befüllen, bitte alle Notizen (rote Ecken) beachten</t>
  </si>
  <si>
    <t>Einzahlungen durch das Gründungsteam</t>
  </si>
  <si>
    <t xml:space="preserve"> Bezüge
Gründungsteam
(b1)</t>
  </si>
  <si>
    <t>Personalkosten weitere 
Beschäftigte 
(p1)</t>
  </si>
  <si>
    <t>(t1) materielle und immaterielle Investitionen (aliquote AfA)</t>
  </si>
  <si>
    <t>(d1) externe Dienstleistungen</t>
  </si>
  <si>
    <t>(n1) laufende Betriebskosten</t>
  </si>
  <si>
    <t>(r1) Reisekosten</t>
  </si>
  <si>
    <t>(s1) andere Kosten (Materialkosten, Ausbildungskosten, etc.)</t>
  </si>
  <si>
    <t>Sonstige Kosten, die unmittelbar im Zuge des Vorhabens entstehen, wie etwa Kosten für den laufenden Betrieb (z.B. Telekommunikation), Reisekosten, Verbrauchsmaterial, Bedarfsmittel, Ausbildungskosten oder Kinderbetreuungskosten sind ebenfalls Bestandteil der sonstigen Kosten, sofern sie keiner anderen Kostenart zugeordnet werden können.</t>
  </si>
  <si>
    <t>doc v2025.1</t>
  </si>
  <si>
    <t>(Vorbereitung) Marketing und Vertrieb</t>
  </si>
  <si>
    <t>Rechtliche Anforderungen / Standards / Normen / Zertifizierungen / Schutzrechte</t>
  </si>
  <si>
    <t>Gründung / Unternehmensaufbau / Teamentwicklung</t>
  </si>
  <si>
    <t>(Vorbereitung) Impactmessung / Wirkungsdokumentation</t>
  </si>
  <si>
    <t>Weitere Ziele</t>
  </si>
  <si>
    <t>PERSONELLE RESSOURCEN      [in VZÄ]</t>
  </si>
  <si>
    <t>Zielgruppenanalyse und Marktsegementierung</t>
  </si>
  <si>
    <t>Entwicklungsstand / Leistungsziele des PoC / Prototyps</t>
  </si>
  <si>
    <t>Sonstige Finanzierung</t>
  </si>
  <si>
    <r>
      <t xml:space="preserve">Antragsteller*in: </t>
    </r>
    <r>
      <rPr>
        <b/>
        <sz val="16"/>
        <color rgb="FF0000FF"/>
        <rFont val="Arial"/>
        <family val="2"/>
      </rPr>
      <t>Peter Fehringer / ANAMNIC</t>
    </r>
  </si>
  <si>
    <t>Status vom: 16.03.2026</t>
  </si>
  <si>
    <t>x</t>
  </si>
  <si>
    <t>m</t>
  </si>
  <si>
    <t>Nachweis: Funktionsfähiger MVP mit dokumentiertem Funktionsumfang. Live-Demo eines vollständigen Anamnese-Telefonats mit strukturiertem PDF-Bericht. Technische Dokumentation der Systemarchitektur.</t>
  </si>
  <si>
    <t>Ziel: Validierung der Zielgruppen durch direkte Gespräche mit PVE und Praxen. Mindestens 3 LOIs von potenziellen Pilotkunden. Feedback zu Akzeptanz und Zahlungsbereitschaft dokumentiert.</t>
  </si>
  <si>
    <t>Nachweis: LOIs (Letters of Intent) von mindestens 3 Praxen/PVE. Dokumentierte Gesprächsprotokolle und Feedback-Zusammenfassung.</t>
  </si>
  <si>
    <t>Ziel: LinkedIn-Unternehmensprofil aufgebaut mit regelmäßigen Fachbeiträgen. Teilnahme an 1–2 Healthcare-IT-Events/Konferenzen. Erste Case Study aus Piloterfahrungen erstellt. Vertriebsprozess definiert (Awareness → Demo → Pilot → Conversion).</t>
  </si>
  <si>
    <t>Nachweis: LinkedIn-Profil mit mind. 10 Fachbeiträgen. Dokumentation Konferenzteilnahmen (Tickets, Fotos). Fertige Case Study. Dokumentierter Vertriebsprozess.</t>
  </si>
  <si>
    <t>Ziel: Regulatorische Abgrenzung als Dokumentationssoftware (kein Medizinprodukt gemäß MDR 2017/745) rechtlich abgesichert. Wortmarke „Anamnic" beim Österreichischen Patentamt angemeldet (Klassen 9, 42). DSGVO-konforme Architektur dokumentiert. IT-Recht-Gutachten zu Datenschutz und Haftung eingeholt.</t>
  </si>
  <si>
    <t>Nachweis: Markenanmeldungsbestätigung ÖPA. Schriftliche Stellungnahme/Gutachten zur MDR-Abgrenzung. DSGVO-Datenschutzkonzept. Dokumentation der technischen Sicherheitsarchitektur (EU-Hosting, keine US-Dienste).</t>
  </si>
  <si>
    <t>Ziel: Anamnic GmbH gegründet (Stammkapital 15.000 EUR, 100 % Gründer). Geschäftsbetrieb aufgenommen. Steuerberatung und Buchhaltung eingerichtet. Freelancer-Netzwerk für punktuelle Entwicklungsunterstützung aufgebaut. Gewerbeberechtigung IT-Dienstleistung erhalten.</t>
  </si>
  <si>
    <t>Ziel: Demo-fähiger MVP: Telefonie-Integration , LLM-basierte Gesprächslogik für strukturierte Anamnese, medizinische Strukturierung, PDF-Export und einfaches Praxis-Dashboard.</t>
  </si>
  <si>
    <t>Nachweis: Firmenbuchauszug Anamnic GmbH. Gesellschaftsvertrag. Gewerbeschein. Steuerberatungsvertrag. Nachweis über mindestens einen aktiven Freelancer-Vertrag.</t>
  </si>
  <si>
    <t>Ziel: Wirkungsindikatoren definiert und Baseline-Erhebung bei Pilotpraxen durchgeführt. KPIs: Anzahl durchgeführter Anamnesen, realisierte Zeiteinsparungen (3–5 Min/Patient), Nutzungsstatistiken nach Altersgruppen, qualitative Rückmeldungen zur Barrierefreiheit.</t>
  </si>
  <si>
    <t>Nachweis: Dokumentiertes Impact-Messkonzept mit definierten KPIs und Messmethoden. Baseline-Daten aus Pilotpraxen (z.B. aktuelle Anamnesedauer, Dokumentationsaufwand vor Einsatz von Anamnic). Erster Impact-Bericht mit Pilotdaten.</t>
  </si>
  <si>
    <t>Ziel: FHIR-Export implementiert und getestet. Integrationskonzept für mindestens ein Praxisverwaltungssystem (PVS) dokumentiert.</t>
  </si>
  <si>
    <t>Nachweis: Funktionsfähiger FHIR-Export (Testdokumentation). Schriftliches Integrationskonzept für CGM-Anbindung.</t>
  </si>
  <si>
    <t>Ziel:Produktverbesserung basierend auf Pilotfeedback abgeschlossen. Pilotbetrieb mit mindestens 5 aktiven Praxen. Erweiterte Funktionen: Mehrsprachigkeits-Grundlage, Tablet-Interface für Wartezimmer, verbesserte Gesprächslogik basierend auf realen Anamnese-Daten.</t>
  </si>
  <si>
    <t>Nachweis: Release-Notes der verbesserten Version. Nutzungsstatistiken aus 5 Pilotpraxen. Dokumentierte Feedback-Auswertung und umgesetzte Verbesserungen. Demo des erweiterten Produkts.</t>
  </si>
  <si>
    <t>Ziel: Pilotfeedback systematisch ausgewertet. Marktsegmentierung verfeinert (PVE vs. Einzelpraxen vs. Psychotherapeuten). Preismodell durch Pilotdaten validiert (Starter 150 EUR, Professional 300 EUR, Enterprise 720 EUR brutto/Monat). Patientenakzeptanz bei älteren Zielgruppen validiert.</t>
  </si>
  <si>
    <t>Nachweis: Pilot-Auswertungsbericht mit Segmentanalyse. Validiertes Preismodell. Akzeptanzstudie mit Patienten-Feedback (inkl. ältere Zielgruppen). Mindestens 5 Referenz-Testimonials von Pilotpraxen.</t>
  </si>
  <si>
    <t>Ziel: Vertriebsstart mit den ersten zahlenden Kunden. Ziel: Mindestens 5 Pilotpraxen in bezahlte Abonnements konvertiert. Referral-Programm konzipiert. Gastbeitrag in Ärzte-Fachmedium veröffentlicht. Teilnahme an mindestens 1 weiteren Healthcare-IT-Event.</t>
  </si>
  <si>
    <t>Nachweis: Abgeschlossene Kundenverträge (Abo-Verträge). Umsatznachweise. Veröffentlichter Gastbeitrag (Link/Kopie). Event-Teilnahmebestätigungen. Dokumentiertes Referral-Konzept.</t>
  </si>
  <si>
    <t>Ziel: Marke „Anamnic" eingetragen (oder Eintragung in Bearbeitung). AGB und Nutzungsbedingungen für SaaS-Produkt erstellt. Datenschutz-Folgenabschätzung (DSFA) durchgeführt. Auftragsverarbeitungsverträge (AVV) mit Cloud-Dienstleistern abgeschlossen.</t>
  </si>
  <si>
    <t>Nachweis: Markenurkunde oder Anmeldebestätigung. Fertige AGB und Nutzungsbedingungen. DSFA-Dokument. Unterzeichnete AVV (Hetzner, sipgate, Mistral).</t>
  </si>
  <si>
    <t>Ziel: Unternehmen im operativen Regelbetrieb. Buchhaltung und Rechnungswesen etabliert. Monatliche Aufwands-/Ertragsrechnung implementiert. Erste Umsätze erzielt. Vorbereitung für eventuelle Team-Erweiterung (Teilzeit Sales oder Freelancer).</t>
  </si>
  <si>
    <t>Nachweis: Aktuelle BWA (Betriebswirtschaftliche Auswertung). Erste Ausgangsrechnungen an Kunden. Dokumentation der Organisationsstruktur Phase 2.</t>
  </si>
  <si>
    <t>Ziel: Erste Impact-Ergebnisse aus Pilotbetrieb dokumentiert. Gemessene Zeiteinsparung pro Patient (Ziel: 3–5 Minuten). Nutzungsstatistiken nach Altersgruppen ausgewertet. Qualitative Rückmeldungen zur Barrierefreiheit gesammelt. Wirkungsbericht für Endbericht erstellt.</t>
  </si>
  <si>
    <t>Nachweis: Impact-Bericht mit quantitativen Daten (Anzahl Anamnesen, Zeiteinsparung, Nutzerstatistiken). Qualitative Interview-Zusammenfassungen. Vergleich Baseline vs. aktuelle Werte. Fotodokumentation Pilotbetrieb.</t>
  </si>
  <si>
    <t>Ziel: Vorbereitung DACH-Expansion: Analyse regulatorischer Anforderungen für Deutschland und Schweiz. Roadmap für Fachbereichs-Module (Psychotherapie, Kardiologie) erstellt.</t>
  </si>
  <si>
    <t>Nachweis: Regulatorische Länderanalyse DE/CH. Produkt-Roadmap mit priorisierten Fachmodulen.</t>
  </si>
  <si>
    <t>Peter Fehringer</t>
  </si>
  <si>
    <t>Computer/Laptop (aliquote AfA, ND 3 Jahre, Anschaffung Aug 2026)</t>
  </si>
  <si>
    <t>Steuerberatung (laufend + Jahresabschluss)</t>
  </si>
  <si>
    <t>Rechtsberatung</t>
  </si>
  <si>
    <t xml:space="preserve">Software (API + Lizenz) + Server/Cloud </t>
  </si>
  <si>
    <t>Werbung</t>
  </si>
  <si>
    <t>Reisekosten</t>
  </si>
  <si>
    <t>Telefon</t>
  </si>
  <si>
    <t xml:space="preserve">Peter Fehringer </t>
  </si>
  <si>
    <t>Geschäftsführerbezug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</si>
</sst>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quot;€&quot;\ #,##0.00"/>
  </numFmts>
  <fonts count="26">
    <font>
      <sz val="10"/>
      <name val="Arial"/>
    </font>
    <font>
      <sz val="8"/>
      <name val="Arial"/>
      <family val="2"/>
    </font>
    <font>
      <b/>
      <sz val="10"/>
      <name val="Arial"/>
      <family val="2"/>
    </font>
    <font>
      <sz val="10"/>
      <name val="Arial"/>
      <family val="2"/>
    </font>
    <font>
      <b/>
      <sz val="8"/>
      <name val="Arial"/>
      <family val="2"/>
    </font>
    <font>
      <sz val="8"/>
      <name val="Arial"/>
      <family val="2"/>
    </font>
    <font>
      <sz val="9"/>
      <name val="Arial"/>
      <family val="2"/>
    </font>
    <font>
      <i/>
      <sz val="10"/>
      <name val="Arial"/>
      <family val="2"/>
    </font>
    <font>
      <sz val="9"/>
      <color indexed="81"/>
      <name val="Segoe UI"/>
      <family val="2"/>
    </font>
    <font>
      <b/>
      <sz val="16"/>
      <color rgb="FF002060"/>
      <name val="Arial"/>
      <family val="2"/>
    </font>
    <font>
      <b/>
      <sz val="20"/>
      <color rgb="FF002060"/>
      <name val="Arial"/>
      <family val="2"/>
    </font>
    <font>
      <b/>
      <sz val="10"/>
      <color rgb="FF002060"/>
      <name val="Arial"/>
      <family val="2"/>
    </font>
    <font>
      <b/>
      <sz val="8"/>
      <color rgb="FF002060"/>
      <name val="Arial"/>
      <family val="2"/>
    </font>
    <font>
      <sz val="10"/>
      <color indexed="81"/>
      <name val="Tahoma"/>
      <family val="2"/>
    </font>
    <font>
      <sz val="10"/>
      <color indexed="81"/>
      <name val="Segoe UI"/>
      <family val="2"/>
    </font>
    <font>
      <sz val="10"/>
      <name val="Arial"/>
      <family val="2"/>
    </font>
    <font>
      <b/>
      <sz val="11"/>
      <name val="Arial"/>
      <family val="2"/>
    </font>
    <font>
      <sz val="10"/>
      <color indexed="81"/>
      <name val="Arial"/>
      <family val="2"/>
    </font>
    <font>
      <b/>
      <sz val="10"/>
      <color indexed="81"/>
      <name val="Arial"/>
      <family val="2"/>
    </font>
    <font>
      <b/>
      <sz val="9"/>
      <name val="Arial"/>
      <family val="2"/>
    </font>
    <font>
      <sz val="10"/>
      <color indexed="81"/>
      <name val="Arail"/>
    </font>
    <font>
      <sz val="9"/>
      <color indexed="81"/>
      <name val="Segoe UI"/>
      <charset val="1"/>
    </font>
    <font>
      <sz val="11"/>
      <name val="Arial"/>
      <family val="2"/>
    </font>
    <font>
      <b/>
      <sz val="14"/>
      <color rgb="FFFF0000"/>
      <name val="Arial"/>
      <family val="2"/>
    </font>
    <font>
      <b/>
      <sz val="16"/>
      <color rgb="FF0000FF"/>
      <name val="Arial"/>
      <family val="2"/>
    </font>
    <font>
      <sz val="9"/>
      <color indexed="81"/>
      <name val="Arial"/>
      <family val="2"/>
    </font>
  </fonts>
  <fills count="12">
    <fill>
      <patternFill patternType="none"/>
    </fill>
    <fill>
      <patternFill patternType="gray125"/>
    </fill>
    <fill>
      <patternFill patternType="solid">
        <fgColor indexed="2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83C5D9"/>
        <bgColor indexed="64"/>
      </patternFill>
    </fill>
    <fill>
      <patternFill patternType="solid">
        <fgColor rgb="FF51C7B9"/>
        <bgColor indexed="64"/>
      </patternFill>
    </fill>
    <fill>
      <patternFill patternType="solid">
        <fgColor theme="5" tint="0.39997558519241921"/>
        <bgColor indexed="64"/>
      </patternFill>
    </fill>
    <fill>
      <patternFill patternType="solid">
        <fgColor rgb="FFB7DEE8"/>
        <bgColor indexed="64"/>
      </patternFill>
    </fill>
    <fill>
      <patternFill patternType="solid">
        <fgColor theme="0" tint="-4.9989318521683403E-2"/>
        <bgColor indexed="64"/>
      </patternFill>
    </fill>
    <fill>
      <patternFill patternType="solid">
        <fgColor rgb="FFEFF874"/>
        <bgColor indexed="64"/>
      </patternFill>
    </fill>
    <fill>
      <patternFill patternType="solid">
        <fgColor theme="0" tint="-0.249977111117893"/>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44" fontId="15" fillId="0" borderId="0" applyFont="0" applyFill="0" applyBorder="0" applyAlignment="0" applyProtection="0"/>
  </cellStyleXfs>
  <cellXfs count="121">
    <xf numFmtId="0" fontId="0" fillId="0" borderId="0" xfId="0"/>
    <xf numFmtId="0" fontId="1" fillId="0" borderId="0" xfId="0" applyFont="1"/>
    <xf numFmtId="0" fontId="0" fillId="0" borderId="1" xfId="0" applyBorder="1"/>
    <xf numFmtId="0" fontId="0" fillId="0" borderId="0" xfId="0" applyAlignment="1">
      <alignment horizontal="right"/>
    </xf>
    <xf numFmtId="0" fontId="0" fillId="0" borderId="2" xfId="0" applyBorder="1" applyAlignment="1">
      <alignment vertical="top"/>
    </xf>
    <xf numFmtId="0" fontId="0" fillId="0" borderId="1" xfId="0" applyBorder="1" applyAlignment="1">
      <alignment vertical="top"/>
    </xf>
    <xf numFmtId="0" fontId="0" fillId="0" borderId="1" xfId="0" applyBorder="1" applyAlignment="1">
      <alignment horizontal="center" vertical="top"/>
    </xf>
    <xf numFmtId="0" fontId="0" fillId="0" borderId="0" xfId="0" applyAlignment="1">
      <alignment vertical="top"/>
    </xf>
    <xf numFmtId="0" fontId="0" fillId="0" borderId="4" xfId="0" applyBorder="1" applyAlignment="1">
      <alignment vertical="top"/>
    </xf>
    <xf numFmtId="0" fontId="6" fillId="0" borderId="3" xfId="0" applyFont="1" applyBorder="1" applyAlignment="1">
      <alignment vertical="top"/>
    </xf>
    <xf numFmtId="0" fontId="3" fillId="0" borderId="1" xfId="0" applyFont="1" applyBorder="1" applyAlignment="1">
      <alignment vertical="top"/>
    </xf>
    <xf numFmtId="17" fontId="1" fillId="4" borderId="5" xfId="0" applyNumberFormat="1" applyFont="1" applyFill="1" applyBorder="1" applyAlignment="1">
      <alignment horizontal="center"/>
    </xf>
    <xf numFmtId="0" fontId="7" fillId="0" borderId="0" xfId="0" applyFont="1"/>
    <xf numFmtId="0" fontId="6" fillId="0" borderId="2" xfId="0" applyFont="1" applyBorder="1"/>
    <xf numFmtId="0" fontId="6" fillId="0" borderId="0" xfId="0" applyFont="1"/>
    <xf numFmtId="0" fontId="3" fillId="0" borderId="1" xfId="0" applyFont="1" applyBorder="1"/>
    <xf numFmtId="0" fontId="2" fillId="0" borderId="15" xfId="0" applyFont="1" applyBorder="1" applyAlignment="1">
      <alignment horizontal="center"/>
    </xf>
    <xf numFmtId="0" fontId="0" fillId="0" borderId="15" xfId="0" applyBorder="1" applyAlignment="1">
      <alignment horizontal="right"/>
    </xf>
    <xf numFmtId="0" fontId="6" fillId="0" borderId="15" xfId="0" applyFont="1" applyBorder="1" applyAlignment="1">
      <alignment horizontal="right"/>
    </xf>
    <xf numFmtId="0" fontId="3" fillId="2" borderId="15" xfId="0" applyFont="1" applyFill="1" applyBorder="1" applyAlignment="1">
      <alignment horizontal="right" vertical="top"/>
    </xf>
    <xf numFmtId="3" fontId="3" fillId="2" borderId="15" xfId="0" applyNumberFormat="1" applyFont="1" applyFill="1" applyBorder="1" applyAlignment="1">
      <alignment horizontal="right" vertical="top"/>
    </xf>
    <xf numFmtId="0" fontId="10" fillId="0" borderId="13" xfId="0" applyFont="1" applyBorder="1"/>
    <xf numFmtId="0" fontId="11" fillId="0" borderId="13" xfId="0" applyFont="1" applyBorder="1"/>
    <xf numFmtId="0" fontId="12" fillId="0" borderId="14" xfId="0" applyFont="1" applyBorder="1" applyAlignment="1">
      <alignment horizontal="right" vertical="top"/>
    </xf>
    <xf numFmtId="3" fontId="0" fillId="0" borderId="4" xfId="0" applyNumberFormat="1" applyBorder="1" applyAlignment="1" applyProtection="1">
      <alignment vertical="top"/>
      <protection locked="0"/>
    </xf>
    <xf numFmtId="164" fontId="2" fillId="2" borderId="15" xfId="0" applyNumberFormat="1" applyFont="1" applyFill="1" applyBorder="1" applyAlignment="1">
      <alignment horizontal="right"/>
    </xf>
    <xf numFmtId="164" fontId="3" fillId="2" borderId="15" xfId="0" applyNumberFormat="1" applyFont="1" applyFill="1" applyBorder="1" applyAlignment="1">
      <alignment horizontal="right" vertical="top"/>
    </xf>
    <xf numFmtId="164" fontId="0" fillId="0" borderId="1" xfId="0" applyNumberFormat="1" applyBorder="1" applyAlignment="1">
      <alignment vertical="top"/>
    </xf>
    <xf numFmtId="164" fontId="0" fillId="0" borderId="1" xfId="0" applyNumberFormat="1" applyBorder="1" applyAlignment="1" applyProtection="1">
      <alignment vertical="top"/>
      <protection locked="0"/>
    </xf>
    <xf numFmtId="0" fontId="0" fillId="0" borderId="1" xfId="0" applyBorder="1" applyAlignment="1">
      <alignment horizontal="center"/>
    </xf>
    <xf numFmtId="0" fontId="3" fillId="0" borderId="1" xfId="0" applyFont="1" applyBorder="1" applyAlignment="1">
      <alignment horizontal="center"/>
    </xf>
    <xf numFmtId="0" fontId="6" fillId="0" borderId="1" xfId="0" applyFont="1" applyBorder="1" applyAlignment="1">
      <alignment horizontal="center"/>
    </xf>
    <xf numFmtId="0" fontId="3" fillId="0" borderId="18" xfId="0" applyFont="1" applyBorder="1"/>
    <xf numFmtId="0" fontId="3" fillId="4" borderId="1" xfId="0" applyFont="1" applyFill="1" applyBorder="1"/>
    <xf numFmtId="0" fontId="0" fillId="0" borderId="6" xfId="0" applyBorder="1" applyAlignment="1">
      <alignment horizontal="center"/>
    </xf>
    <xf numFmtId="0" fontId="5" fillId="0" borderId="9" xfId="0" applyFont="1" applyBorder="1" applyAlignment="1">
      <alignment horizontal="right" wrapText="1"/>
    </xf>
    <xf numFmtId="17" fontId="1" fillId="0" borderId="6" xfId="0" applyNumberFormat="1" applyFont="1" applyBorder="1" applyAlignment="1">
      <alignment horizontal="center"/>
    </xf>
    <xf numFmtId="0" fontId="4" fillId="0" borderId="1" xfId="0" applyFont="1" applyBorder="1" applyAlignment="1">
      <alignment horizontal="left"/>
    </xf>
    <xf numFmtId="0" fontId="19" fillId="3" borderId="2" xfId="0" applyFont="1" applyFill="1" applyBorder="1" applyAlignment="1">
      <alignment horizontal="center" vertical="top"/>
    </xf>
    <xf numFmtId="0" fontId="19" fillId="3" borderId="2" xfId="0" applyFont="1" applyFill="1" applyBorder="1" applyAlignment="1">
      <alignment horizontal="center" vertical="top" wrapText="1"/>
    </xf>
    <xf numFmtId="0" fontId="5" fillId="4" borderId="8" xfId="0" applyFont="1" applyFill="1" applyBorder="1" applyAlignment="1">
      <alignment horizontal="right" wrapText="1"/>
    </xf>
    <xf numFmtId="0" fontId="2" fillId="7" borderId="5" xfId="0" applyFont="1" applyFill="1" applyBorder="1" applyAlignment="1">
      <alignment horizontal="center"/>
    </xf>
    <xf numFmtId="164" fontId="2" fillId="0" borderId="0" xfId="0" applyNumberFormat="1" applyFont="1"/>
    <xf numFmtId="164" fontId="16" fillId="0" borderId="0" xfId="0" applyNumberFormat="1" applyFont="1" applyAlignment="1">
      <alignment horizontal="right" vertical="center" wrapText="1"/>
    </xf>
    <xf numFmtId="0" fontId="16" fillId="3" borderId="27" xfId="0" applyFont="1" applyFill="1" applyBorder="1" applyAlignment="1">
      <alignment horizontal="center" vertical="center" wrapText="1"/>
    </xf>
    <xf numFmtId="164" fontId="16" fillId="3" borderId="18" xfId="0" applyNumberFormat="1" applyFont="1" applyFill="1" applyBorder="1" applyAlignment="1">
      <alignment horizontal="right" vertical="center" wrapText="1"/>
    </xf>
    <xf numFmtId="0" fontId="3" fillId="0" borderId="26" xfId="0" applyFont="1" applyBorder="1"/>
    <xf numFmtId="164" fontId="3" fillId="0" borderId="25" xfId="0" applyNumberFormat="1" applyFont="1" applyBorder="1"/>
    <xf numFmtId="0" fontId="3" fillId="0" borderId="25" xfId="0" applyFont="1" applyBorder="1"/>
    <xf numFmtId="164" fontId="3" fillId="0" borderId="26" xfId="0" applyNumberFormat="1" applyFont="1" applyBorder="1"/>
    <xf numFmtId="0" fontId="16" fillId="8" borderId="27" xfId="0" applyFont="1" applyFill="1" applyBorder="1" applyAlignment="1">
      <alignment horizontal="center" vertical="center" wrapText="1"/>
    </xf>
    <xf numFmtId="0" fontId="2" fillId="9" borderId="2" xfId="0" applyFont="1" applyFill="1" applyBorder="1" applyAlignment="1">
      <alignment horizontal="left"/>
    </xf>
    <xf numFmtId="0" fontId="2" fillId="9" borderId="1" xfId="0" applyFont="1" applyFill="1" applyBorder="1" applyAlignment="1">
      <alignment horizontal="left"/>
    </xf>
    <xf numFmtId="0" fontId="2" fillId="9" borderId="22" xfId="0" applyFont="1" applyFill="1" applyBorder="1"/>
    <xf numFmtId="0" fontId="2" fillId="9" borderId="2" xfId="0" applyFont="1" applyFill="1" applyBorder="1"/>
    <xf numFmtId="0" fontId="4" fillId="10" borderId="5" xfId="0" applyFont="1" applyFill="1" applyBorder="1" applyAlignment="1">
      <alignment horizontal="left"/>
    </xf>
    <xf numFmtId="0" fontId="3" fillId="10" borderId="1" xfId="0" applyFont="1" applyFill="1" applyBorder="1" applyAlignment="1">
      <alignment wrapText="1"/>
    </xf>
    <xf numFmtId="0" fontId="3" fillId="10" borderId="1" xfId="0" applyFont="1" applyFill="1" applyBorder="1"/>
    <xf numFmtId="164" fontId="4" fillId="2" borderId="29" xfId="0" applyNumberFormat="1" applyFont="1" applyFill="1" applyBorder="1"/>
    <xf numFmtId="0" fontId="6" fillId="10" borderId="1" xfId="0" applyFont="1" applyFill="1" applyBorder="1" applyAlignment="1">
      <alignment vertical="top" wrapText="1"/>
    </xf>
    <xf numFmtId="164" fontId="3" fillId="10" borderId="1" xfId="0" applyNumberFormat="1" applyFont="1" applyFill="1" applyBorder="1"/>
    <xf numFmtId="0" fontId="2" fillId="10" borderId="1" xfId="0" applyFont="1" applyFill="1" applyBorder="1"/>
    <xf numFmtId="0" fontId="3" fillId="11" borderId="27" xfId="0" applyFont="1" applyFill="1" applyBorder="1" applyAlignment="1">
      <alignment horizontal="left"/>
    </xf>
    <xf numFmtId="164" fontId="3" fillId="11" borderId="18" xfId="0" applyNumberFormat="1" applyFont="1" applyFill="1" applyBorder="1"/>
    <xf numFmtId="0" fontId="3" fillId="11" borderId="27" xfId="0" applyFont="1" applyFill="1" applyBorder="1"/>
    <xf numFmtId="0" fontId="3" fillId="0" borderId="0" xfId="0" applyFont="1"/>
    <xf numFmtId="0" fontId="22" fillId="0" borderId="0" xfId="0" applyFont="1"/>
    <xf numFmtId="0" fontId="3" fillId="0" borderId="1" xfId="0" applyFont="1" applyBorder="1" applyAlignment="1">
      <alignment vertical="top" wrapText="1"/>
    </xf>
    <xf numFmtId="0" fontId="3" fillId="10" borderId="1" xfId="0" applyFont="1" applyFill="1" applyBorder="1" applyAlignment="1">
      <alignment vertical="top"/>
    </xf>
    <xf numFmtId="164" fontId="4" fillId="2" borderId="33" xfId="0" applyNumberFormat="1" applyFont="1" applyFill="1" applyBorder="1"/>
    <xf numFmtId="0" fontId="2" fillId="0" borderId="24" xfId="0" applyFont="1" applyBorder="1"/>
    <xf numFmtId="0" fontId="0" fillId="0" borderId="20" xfId="0" applyBorder="1" applyAlignment="1">
      <alignment horizontal="center"/>
    </xf>
    <xf numFmtId="0" fontId="2" fillId="2" borderId="35" xfId="0" applyFont="1" applyFill="1" applyBorder="1" applyAlignment="1">
      <alignment horizontal="right"/>
    </xf>
    <xf numFmtId="0" fontId="0" fillId="0" borderId="36" xfId="0" applyBorder="1" applyAlignment="1">
      <alignment horizontal="right"/>
    </xf>
    <xf numFmtId="0" fontId="0" fillId="0" borderId="7" xfId="0" applyBorder="1" applyAlignment="1">
      <alignment vertical="top"/>
    </xf>
    <xf numFmtId="0" fontId="0" fillId="0" borderId="28" xfId="0" applyBorder="1" applyAlignment="1">
      <alignment vertical="top"/>
    </xf>
    <xf numFmtId="0" fontId="0" fillId="0" borderId="28" xfId="0" applyBorder="1" applyAlignment="1">
      <alignment horizontal="center" vertical="top"/>
    </xf>
    <xf numFmtId="0" fontId="3" fillId="10" borderId="6" xfId="0" applyFont="1" applyFill="1" applyBorder="1" applyAlignment="1">
      <alignment vertical="top"/>
    </xf>
    <xf numFmtId="164" fontId="0" fillId="0" borderId="6" xfId="0" applyNumberFormat="1" applyBorder="1" applyAlignment="1">
      <alignment vertical="top"/>
    </xf>
    <xf numFmtId="164" fontId="2" fillId="5" borderId="14" xfId="0" applyNumberFormat="1" applyFont="1" applyFill="1" applyBorder="1" applyAlignment="1">
      <alignment horizontal="right"/>
    </xf>
    <xf numFmtId="0" fontId="3" fillId="4" borderId="1" xfId="0" applyFont="1" applyFill="1" applyBorder="1" applyAlignment="1">
      <alignment wrapText="1"/>
    </xf>
    <xf numFmtId="0" fontId="0" fillId="4" borderId="1" xfId="0" applyFill="1" applyBorder="1" applyAlignment="1">
      <alignment wrapText="1"/>
    </xf>
    <xf numFmtId="0" fontId="2" fillId="9" borderId="1" xfId="0" applyFont="1" applyFill="1" applyBorder="1"/>
    <xf numFmtId="164" fontId="4" fillId="6" borderId="6" xfId="0" applyNumberFormat="1" applyFont="1" applyFill="1" applyBorder="1"/>
    <xf numFmtId="164" fontId="1" fillId="0" borderId="1" xfId="0" applyNumberFormat="1" applyFont="1" applyBorder="1" applyAlignment="1">
      <alignment vertical="top"/>
    </xf>
    <xf numFmtId="164" fontId="1" fillId="0" borderId="1" xfId="0" applyNumberFormat="1" applyFont="1" applyBorder="1" applyAlignment="1" applyProtection="1">
      <alignment vertical="top"/>
      <protection locked="0"/>
    </xf>
    <xf numFmtId="164" fontId="2" fillId="2" borderId="34" xfId="0" applyNumberFormat="1" applyFont="1" applyFill="1" applyBorder="1" applyAlignment="1">
      <alignment horizontal="right"/>
    </xf>
    <xf numFmtId="0" fontId="3" fillId="0" borderId="1" xfId="0" applyFont="1" applyBorder="1" applyAlignment="1">
      <alignment wrapText="1"/>
    </xf>
    <xf numFmtId="164" fontId="2" fillId="5" borderId="29" xfId="1" applyNumberFormat="1" applyFont="1" applyFill="1" applyBorder="1"/>
    <xf numFmtId="0" fontId="2" fillId="9" borderId="21" xfId="0" applyFont="1" applyFill="1" applyBorder="1" applyAlignment="1">
      <alignment horizontal="center" vertical="center" wrapText="1"/>
    </xf>
    <xf numFmtId="0" fontId="2" fillId="9" borderId="24" xfId="0" applyFont="1" applyFill="1" applyBorder="1" applyAlignment="1">
      <alignment horizontal="center" vertical="center" wrapText="1"/>
    </xf>
    <xf numFmtId="0" fontId="2" fillId="9" borderId="22" xfId="0" applyFont="1" applyFill="1" applyBorder="1" applyAlignment="1">
      <alignment horizontal="center" vertical="center" wrapText="1"/>
    </xf>
    <xf numFmtId="0" fontId="2" fillId="9" borderId="21" xfId="0" applyFont="1" applyFill="1" applyBorder="1" applyAlignment="1">
      <alignment horizontal="center" vertical="center"/>
    </xf>
    <xf numFmtId="0" fontId="2" fillId="9" borderId="24" xfId="0" applyFont="1" applyFill="1" applyBorder="1" applyAlignment="1">
      <alignment horizontal="center" vertical="center"/>
    </xf>
    <xf numFmtId="0" fontId="2" fillId="9" borderId="22" xfId="0" applyFont="1" applyFill="1" applyBorder="1" applyAlignment="1">
      <alignment horizontal="center" vertical="center"/>
    </xf>
    <xf numFmtId="0" fontId="23" fillId="0" borderId="19" xfId="0" applyFont="1" applyBorder="1" applyAlignment="1">
      <alignment horizontal="left" vertical="center"/>
    </xf>
    <xf numFmtId="0" fontId="9" fillId="10" borderId="16" xfId="0" applyFont="1" applyFill="1" applyBorder="1" applyAlignment="1">
      <alignment horizontal="left" vertical="center"/>
    </xf>
    <xf numFmtId="0" fontId="9" fillId="10" borderId="37" xfId="0" applyFont="1" applyFill="1" applyBorder="1" applyAlignment="1">
      <alignment horizontal="left" vertical="center"/>
    </xf>
    <xf numFmtId="0" fontId="2" fillId="2" borderId="16" xfId="0" applyFont="1" applyFill="1" applyBorder="1" applyAlignment="1">
      <alignment horizontal="left"/>
    </xf>
    <xf numFmtId="0" fontId="2" fillId="2" borderId="17" xfId="0" applyFont="1" applyFill="1" applyBorder="1" applyAlignment="1">
      <alignment horizontal="left"/>
    </xf>
    <xf numFmtId="0" fontId="2" fillId="7" borderId="10" xfId="0" applyFont="1" applyFill="1" applyBorder="1" applyAlignment="1">
      <alignment horizontal="left"/>
    </xf>
    <xf numFmtId="0" fontId="2" fillId="7" borderId="11" xfId="0" applyFont="1" applyFill="1" applyBorder="1" applyAlignment="1">
      <alignment horizontal="left"/>
    </xf>
    <xf numFmtId="0" fontId="2" fillId="5" borderId="16" xfId="0" applyFont="1" applyFill="1" applyBorder="1" applyAlignment="1">
      <alignment horizontal="left"/>
    </xf>
    <xf numFmtId="0" fontId="2" fillId="5" borderId="17" xfId="0" applyFont="1" applyFill="1" applyBorder="1" applyAlignment="1">
      <alignment horizontal="left"/>
    </xf>
    <xf numFmtId="0" fontId="2" fillId="6" borderId="10" xfId="0" applyFont="1" applyFill="1" applyBorder="1" applyAlignment="1">
      <alignment horizontal="left"/>
    </xf>
    <xf numFmtId="0" fontId="2" fillId="6" borderId="11" xfId="0" applyFont="1" applyFill="1" applyBorder="1" applyAlignment="1">
      <alignment horizontal="left"/>
    </xf>
    <xf numFmtId="0" fontId="19" fillId="3" borderId="38"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3" fillId="0" borderId="30" xfId="0" applyFont="1" applyBorder="1" applyAlignment="1">
      <alignment horizontal="left" vertical="center" wrapText="1" indent="1"/>
    </xf>
    <xf numFmtId="0" fontId="0" fillId="0" borderId="31" xfId="0" applyBorder="1" applyAlignment="1">
      <alignment horizontal="left" vertical="center" wrapText="1" indent="1"/>
    </xf>
    <xf numFmtId="0" fontId="0" fillId="0" borderId="26" xfId="0" applyBorder="1" applyAlignment="1">
      <alignment horizontal="left" vertical="center" wrapText="1" indent="1"/>
    </xf>
    <xf numFmtId="0" fontId="0" fillId="0" borderId="25" xfId="0" applyBorder="1" applyAlignment="1">
      <alignment horizontal="left" vertical="center" wrapText="1" indent="1"/>
    </xf>
    <xf numFmtId="0" fontId="0" fillId="0" borderId="32" xfId="0" applyBorder="1" applyAlignment="1">
      <alignment horizontal="left" vertical="center" wrapText="1" indent="1"/>
    </xf>
    <xf numFmtId="0" fontId="0" fillId="0" borderId="23" xfId="0" applyBorder="1" applyAlignment="1">
      <alignment horizontal="left" vertical="center" wrapText="1" indent="1"/>
    </xf>
    <xf numFmtId="0" fontId="0" fillId="0" borderId="31" xfId="0" applyBorder="1" applyAlignment="1">
      <alignment horizontal="left" vertical="center" indent="1"/>
    </xf>
    <xf numFmtId="0" fontId="0" fillId="0" borderId="26" xfId="0" applyBorder="1" applyAlignment="1">
      <alignment horizontal="left" vertical="center" indent="1"/>
    </xf>
    <xf numFmtId="0" fontId="0" fillId="0" borderId="25" xfId="0" applyBorder="1" applyAlignment="1">
      <alignment horizontal="left" vertical="center" indent="1"/>
    </xf>
    <xf numFmtId="0" fontId="0" fillId="0" borderId="32" xfId="0" applyBorder="1" applyAlignment="1">
      <alignment horizontal="left" vertical="center" indent="1"/>
    </xf>
    <xf numFmtId="0" fontId="0" fillId="0" borderId="23" xfId="0" applyBorder="1" applyAlignment="1">
      <alignment horizontal="left" vertical="center" indent="1"/>
    </xf>
  </cellXfs>
  <cellStyles count="2">
    <cellStyle name="Standard" xfId="0" builtinId="0"/>
    <cellStyle name="Währung" xfId="1" builtinId="4"/>
  </cellStyles>
  <dxfs count="6">
    <dxf>
      <fill>
        <patternFill>
          <bgColor indexed="44"/>
        </patternFill>
      </fill>
    </dxf>
    <dxf>
      <fill>
        <patternFill>
          <bgColor indexed="10"/>
        </patternFill>
      </fill>
    </dxf>
    <dxf>
      <fill>
        <patternFill>
          <bgColor indexed="44"/>
        </patternFill>
      </fill>
    </dxf>
    <dxf>
      <fill>
        <patternFill>
          <bgColor indexed="10"/>
        </patternFill>
      </fill>
    </dxf>
    <dxf>
      <fill>
        <patternFill>
          <bgColor indexed="44"/>
        </patternFill>
      </fill>
    </dxf>
    <dxf>
      <fill>
        <patternFill>
          <bgColor indexed="10"/>
        </patternFill>
      </fill>
    </dxf>
  </dxfs>
  <tableStyles count="0" defaultTableStyle="TableStyleMedium9" defaultPivotStyle="PivotStyleLight16"/>
  <colors>
    <mruColors>
      <color rgb="FF0000FF"/>
      <color rgb="FF0033CC"/>
      <color rgb="FFEFF874"/>
      <color rgb="FF83C5D9"/>
      <color rgb="FFF3FA98"/>
      <color rgb="FFDDFA72"/>
      <color rgb="FFB7DEE8"/>
      <color rgb="FFDDF660"/>
      <color rgb="FFD4F94D"/>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99"/>
  <sheetViews>
    <sheetView tabSelected="1" zoomScaleNormal="100" workbookViewId="0">
      <pane xSplit="2" ySplit="3" topLeftCell="C53" activePane="bottomRight" state="frozenSplit"/>
      <selection pane="topRight" activeCell="B1" sqref="B1"/>
      <selection pane="bottomLeft" activeCell="A3" sqref="A3"/>
      <selection pane="bottomRight" activeCell="C18" sqref="C18"/>
    </sheetView>
  </sheetViews>
  <sheetFormatPr baseColWidth="10" defaultColWidth="6.7109375" defaultRowHeight="12.75"/>
  <cols>
    <col min="1" max="1" width="15.140625" customWidth="1"/>
    <col min="2" max="2" width="55.7109375" customWidth="1"/>
    <col min="3" max="14" width="10.42578125" customWidth="1"/>
    <col min="15" max="15" width="12.7109375" style="3" bestFit="1" customWidth="1"/>
  </cols>
  <sheetData>
    <row r="1" spans="1:27" ht="29.45" customHeight="1" thickBot="1">
      <c r="A1" s="95" t="s">
        <v>43</v>
      </c>
      <c r="B1" s="95"/>
      <c r="C1" s="95"/>
      <c r="D1" s="95"/>
      <c r="E1" s="95"/>
      <c r="F1" s="95"/>
      <c r="G1" s="95"/>
      <c r="H1" s="95"/>
      <c r="I1" s="95"/>
      <c r="J1" s="95"/>
      <c r="K1" s="95"/>
      <c r="L1" s="95"/>
      <c r="M1" s="95"/>
      <c r="N1" s="95"/>
      <c r="O1" s="95"/>
      <c r="P1" s="95"/>
      <c r="Q1" s="95"/>
      <c r="R1" s="95"/>
      <c r="S1" s="95"/>
      <c r="T1" s="95"/>
      <c r="U1" s="95"/>
      <c r="V1" s="95"/>
      <c r="W1" s="95"/>
      <c r="X1" s="95"/>
      <c r="Y1" s="95"/>
      <c r="Z1" s="95"/>
      <c r="AA1" s="95"/>
    </row>
    <row r="2" spans="1:27" ht="27" thickBot="1">
      <c r="A2" s="96" t="s">
        <v>63</v>
      </c>
      <c r="B2" s="97"/>
      <c r="C2" s="22"/>
      <c r="D2" s="22"/>
      <c r="E2" s="21" t="s">
        <v>25</v>
      </c>
      <c r="F2" s="21"/>
      <c r="G2" s="22"/>
      <c r="H2" s="22"/>
      <c r="I2" s="22"/>
      <c r="J2" s="22"/>
      <c r="K2" s="22"/>
      <c r="L2" s="22"/>
      <c r="M2" s="22"/>
      <c r="N2" s="22"/>
      <c r="O2" s="23" t="s">
        <v>53</v>
      </c>
    </row>
    <row r="3" spans="1:27" s="1" customFormat="1" ht="23.25" customHeight="1">
      <c r="A3" s="40"/>
      <c r="B3" s="55" t="s">
        <v>64</v>
      </c>
      <c r="C3" s="11">
        <v>46204</v>
      </c>
      <c r="D3" s="11">
        <f>DATE(YEAR(C3),MONTH(C3)+1,DAY(C3))</f>
        <v>46235</v>
      </c>
      <c r="E3" s="11">
        <f t="shared" ref="E3:F3" si="0">DATE(YEAR(D3),MONTH(D3)+1,DAY(D3))</f>
        <v>46266</v>
      </c>
      <c r="F3" s="11">
        <f t="shared" si="0"/>
        <v>46296</v>
      </c>
      <c r="G3" s="11">
        <f>DATE(YEAR(F3),MONTH(F3)+1,DAY(F3))</f>
        <v>46327</v>
      </c>
      <c r="H3" s="11">
        <f t="shared" ref="H3:I3" si="1">DATE(YEAR(G3),MONTH(G3)+1,DAY(G3))</f>
        <v>46357</v>
      </c>
      <c r="I3" s="11">
        <f t="shared" si="1"/>
        <v>46388</v>
      </c>
      <c r="J3" s="11">
        <f t="shared" ref="J3:K3" si="2">DATE(YEAR(I3),MONTH(I3)+1,DAY(I3))</f>
        <v>46419</v>
      </c>
      <c r="K3" s="11">
        <f t="shared" si="2"/>
        <v>46447</v>
      </c>
      <c r="L3" s="11">
        <f t="shared" ref="L3:M3" si="3">DATE(YEAR(K3),MONTH(K3)+1,DAY(K3))</f>
        <v>46478</v>
      </c>
      <c r="M3" s="11">
        <f t="shared" si="3"/>
        <v>46508</v>
      </c>
      <c r="N3" s="11">
        <f t="shared" ref="N3" si="4">DATE(YEAR(M3),MONTH(M3)+1,DAY(M3))</f>
        <v>46539</v>
      </c>
      <c r="O3" s="16" t="s">
        <v>0</v>
      </c>
    </row>
    <row r="4" spans="1:27" s="1" customFormat="1" ht="6" customHeight="1">
      <c r="A4" s="35"/>
      <c r="B4" s="37"/>
      <c r="C4" s="36"/>
      <c r="D4" s="36"/>
      <c r="E4" s="36"/>
      <c r="F4" s="36"/>
      <c r="G4" s="36"/>
      <c r="H4" s="36"/>
      <c r="I4" s="36"/>
      <c r="J4" s="36"/>
      <c r="K4" s="36"/>
      <c r="L4" s="36"/>
      <c r="M4" s="36"/>
      <c r="N4" s="36"/>
      <c r="O4" s="16"/>
    </row>
    <row r="5" spans="1:27">
      <c r="A5" s="89" t="s">
        <v>17</v>
      </c>
      <c r="B5" s="51" t="s">
        <v>6</v>
      </c>
      <c r="C5" s="30"/>
      <c r="D5" s="29"/>
      <c r="E5" s="29"/>
      <c r="F5" s="29"/>
      <c r="G5" s="29"/>
      <c r="H5" s="29"/>
      <c r="I5" s="29"/>
      <c r="J5" s="29"/>
      <c r="K5" s="29"/>
      <c r="L5" s="29"/>
      <c r="M5" s="29"/>
      <c r="N5" s="29"/>
      <c r="O5" s="17"/>
    </row>
    <row r="6" spans="1:27">
      <c r="A6" s="90"/>
      <c r="B6" s="33" t="s">
        <v>3</v>
      </c>
      <c r="C6" s="29"/>
      <c r="D6" s="29"/>
      <c r="E6" s="29"/>
      <c r="F6" s="29"/>
      <c r="G6" s="29"/>
      <c r="H6" s="29"/>
      <c r="I6" s="29"/>
      <c r="J6" s="29"/>
      <c r="K6" s="29"/>
      <c r="L6" s="29"/>
      <c r="M6" s="29"/>
      <c r="N6" s="29"/>
      <c r="O6" s="17"/>
    </row>
    <row r="7" spans="1:27">
      <c r="A7" s="90"/>
      <c r="B7" s="33" t="s">
        <v>5</v>
      </c>
      <c r="C7" s="29"/>
      <c r="D7" s="30"/>
      <c r="E7" s="29"/>
      <c r="F7" s="29"/>
      <c r="G7" s="29"/>
      <c r="H7" s="29"/>
      <c r="I7" s="29"/>
      <c r="J7" s="29"/>
      <c r="K7" s="29"/>
      <c r="L7" s="29"/>
      <c r="M7" s="29"/>
      <c r="N7" s="29"/>
      <c r="O7" s="17"/>
    </row>
    <row r="8" spans="1:27">
      <c r="A8" s="90"/>
      <c r="B8" s="33" t="s">
        <v>41</v>
      </c>
      <c r="C8" s="29"/>
      <c r="D8" s="29"/>
      <c r="E8" s="29"/>
      <c r="F8" s="29"/>
      <c r="G8" s="29"/>
      <c r="H8" s="29"/>
      <c r="I8" s="29"/>
      <c r="J8" s="29"/>
      <c r="K8" s="29"/>
      <c r="L8" s="29"/>
      <c r="M8" s="29"/>
      <c r="N8" s="29"/>
      <c r="O8" s="17"/>
    </row>
    <row r="9" spans="1:27">
      <c r="A9" s="90"/>
      <c r="B9" s="33" t="s">
        <v>42</v>
      </c>
      <c r="C9" s="29"/>
      <c r="D9" s="29"/>
      <c r="E9" s="29"/>
      <c r="F9" s="29"/>
      <c r="G9" s="29"/>
      <c r="H9" s="29"/>
      <c r="I9" s="29"/>
      <c r="J9" s="29"/>
      <c r="K9" s="29"/>
      <c r="L9" s="29"/>
      <c r="M9" s="29"/>
      <c r="N9" s="29"/>
      <c r="O9" s="17"/>
    </row>
    <row r="10" spans="1:27">
      <c r="A10" s="91"/>
      <c r="B10" s="52" t="s">
        <v>16</v>
      </c>
      <c r="C10" s="29"/>
      <c r="D10" s="29"/>
      <c r="E10" s="30"/>
      <c r="F10" s="29"/>
      <c r="G10" s="29"/>
      <c r="H10" s="29"/>
      <c r="I10" s="29"/>
      <c r="J10" s="29"/>
      <c r="K10" s="29"/>
      <c r="L10" s="29"/>
      <c r="M10" s="29"/>
      <c r="N10" s="29"/>
      <c r="O10" s="17"/>
    </row>
    <row r="11" spans="1:27" ht="7.15" customHeight="1">
      <c r="A11" s="15"/>
      <c r="B11" s="32"/>
      <c r="C11" s="29"/>
      <c r="D11" s="29"/>
      <c r="E11" s="30"/>
      <c r="F11" s="29"/>
      <c r="G11" s="29"/>
      <c r="H11" s="29"/>
      <c r="I11" s="29"/>
      <c r="J11" s="29"/>
      <c r="K11" s="29"/>
      <c r="L11" s="29"/>
      <c r="M11" s="29"/>
      <c r="N11" s="29"/>
      <c r="O11" s="17"/>
    </row>
    <row r="12" spans="1:27">
      <c r="A12" s="92" t="s">
        <v>18</v>
      </c>
      <c r="B12" s="53" t="s">
        <v>7</v>
      </c>
      <c r="C12" s="29"/>
      <c r="D12" s="29"/>
      <c r="E12" s="29"/>
      <c r="F12" s="29"/>
      <c r="G12" s="29"/>
      <c r="H12" s="29"/>
      <c r="I12" s="30"/>
      <c r="J12" s="29"/>
      <c r="K12" s="29"/>
      <c r="L12" s="29"/>
      <c r="M12" s="29"/>
      <c r="N12" s="29"/>
      <c r="O12" s="17"/>
    </row>
    <row r="13" spans="1:27">
      <c r="A13" s="93"/>
      <c r="B13" s="80" t="s">
        <v>61</v>
      </c>
      <c r="C13" s="29" t="s">
        <v>65</v>
      </c>
      <c r="D13" s="29" t="s">
        <v>65</v>
      </c>
      <c r="E13" s="29" t="s">
        <v>65</v>
      </c>
      <c r="F13" s="29" t="s">
        <v>65</v>
      </c>
      <c r="G13" s="29" t="s">
        <v>65</v>
      </c>
      <c r="H13" s="29" t="s">
        <v>66</v>
      </c>
      <c r="I13" s="29"/>
      <c r="J13" s="29"/>
      <c r="K13" s="29"/>
      <c r="L13" s="29"/>
      <c r="M13" s="29"/>
      <c r="N13" s="29"/>
      <c r="O13" s="17"/>
    </row>
    <row r="14" spans="1:27" ht="38.25">
      <c r="A14" s="93"/>
      <c r="B14" s="56" t="s">
        <v>75</v>
      </c>
      <c r="C14" s="29"/>
      <c r="D14" s="29"/>
      <c r="E14" s="29"/>
      <c r="F14" s="29"/>
      <c r="G14" s="29"/>
      <c r="H14" s="29"/>
      <c r="I14" s="29"/>
      <c r="J14" s="29"/>
      <c r="K14" s="29"/>
      <c r="L14" s="29"/>
      <c r="M14" s="29"/>
      <c r="N14" s="29"/>
      <c r="O14" s="17"/>
    </row>
    <row r="15" spans="1:27" ht="51">
      <c r="A15" s="93"/>
      <c r="B15" s="56" t="s">
        <v>67</v>
      </c>
      <c r="C15" s="29"/>
      <c r="D15" s="29"/>
      <c r="E15" s="29"/>
      <c r="F15" s="29"/>
      <c r="G15" s="29"/>
      <c r="H15" s="29"/>
      <c r="I15" s="29"/>
      <c r="J15" s="29"/>
      <c r="K15" s="29"/>
      <c r="L15" s="29"/>
      <c r="M15" s="29"/>
      <c r="N15" s="29"/>
      <c r="O15" s="17"/>
    </row>
    <row r="16" spans="1:27">
      <c r="A16" s="93"/>
      <c r="B16" s="80" t="s">
        <v>60</v>
      </c>
      <c r="C16" s="29" t="s">
        <v>65</v>
      </c>
      <c r="D16" s="29" t="s">
        <v>65</v>
      </c>
      <c r="E16" s="29" t="s">
        <v>65</v>
      </c>
      <c r="F16" s="29" t="s">
        <v>65</v>
      </c>
      <c r="G16" s="29" t="s">
        <v>66</v>
      </c>
      <c r="H16" s="29"/>
      <c r="I16" s="29"/>
      <c r="J16" s="29"/>
      <c r="K16" s="29"/>
      <c r="L16" s="29"/>
      <c r="M16" s="29"/>
      <c r="N16" s="29"/>
      <c r="O16" s="17"/>
    </row>
    <row r="17" spans="1:15" ht="40.5" customHeight="1">
      <c r="A17" s="93"/>
      <c r="B17" s="56" t="s">
        <v>68</v>
      </c>
      <c r="C17" s="29"/>
      <c r="D17" s="29"/>
      <c r="E17" s="29"/>
      <c r="F17" s="29"/>
      <c r="G17" s="29"/>
      <c r="H17" s="29"/>
      <c r="I17" s="29"/>
      <c r="J17" s="29"/>
      <c r="K17" s="29"/>
      <c r="L17" s="29"/>
      <c r="M17" s="29"/>
      <c r="N17" s="29"/>
      <c r="O17" s="17"/>
    </row>
    <row r="18" spans="1:15" ht="38.25">
      <c r="A18" s="93"/>
      <c r="B18" s="56" t="s">
        <v>69</v>
      </c>
      <c r="C18" s="29"/>
      <c r="D18" s="29"/>
      <c r="E18" s="29"/>
      <c r="F18" s="29"/>
      <c r="G18" s="29"/>
      <c r="H18" s="29"/>
      <c r="I18" s="29"/>
      <c r="J18" s="29"/>
      <c r="K18" s="29"/>
      <c r="L18" s="29"/>
      <c r="M18" s="29"/>
      <c r="N18" s="29"/>
      <c r="O18" s="17"/>
    </row>
    <row r="19" spans="1:15">
      <c r="A19" s="93"/>
      <c r="B19" s="80" t="s">
        <v>54</v>
      </c>
      <c r="C19" s="29" t="s">
        <v>65</v>
      </c>
      <c r="D19" s="30" t="s">
        <v>65</v>
      </c>
      <c r="E19" s="30" t="s">
        <v>65</v>
      </c>
      <c r="F19" s="30" t="s">
        <v>65</v>
      </c>
      <c r="G19" s="29" t="s">
        <v>65</v>
      </c>
      <c r="H19" s="29" t="s">
        <v>65</v>
      </c>
      <c r="I19" s="29" t="s">
        <v>66</v>
      </c>
      <c r="J19" s="29"/>
      <c r="K19" s="29"/>
      <c r="L19" s="29"/>
      <c r="M19" s="29"/>
      <c r="N19" s="29"/>
      <c r="O19" s="17"/>
    </row>
    <row r="20" spans="1:15" ht="63.75">
      <c r="A20" s="93"/>
      <c r="B20" s="56" t="s">
        <v>70</v>
      </c>
      <c r="C20" s="29"/>
      <c r="D20" s="30"/>
      <c r="E20" s="30"/>
      <c r="F20" s="30"/>
      <c r="G20" s="29"/>
      <c r="H20" s="29"/>
      <c r="I20" s="29"/>
      <c r="J20" s="29"/>
      <c r="K20" s="29"/>
      <c r="L20" s="29"/>
      <c r="M20" s="29"/>
      <c r="N20" s="29"/>
      <c r="O20" s="17"/>
    </row>
    <row r="21" spans="1:15" ht="38.25">
      <c r="A21" s="93"/>
      <c r="B21" s="56" t="s">
        <v>71</v>
      </c>
      <c r="C21" s="29"/>
      <c r="D21" s="30"/>
      <c r="E21" s="30"/>
      <c r="F21" s="30"/>
      <c r="G21" s="29"/>
      <c r="H21" s="29"/>
      <c r="I21" s="29"/>
      <c r="J21" s="29"/>
      <c r="K21" s="29"/>
      <c r="L21" s="29"/>
      <c r="M21" s="29"/>
      <c r="N21" s="29"/>
      <c r="O21" s="17"/>
    </row>
    <row r="22" spans="1:15" ht="27" customHeight="1">
      <c r="A22" s="93"/>
      <c r="B22" s="80" t="s">
        <v>55</v>
      </c>
      <c r="C22" s="29" t="s">
        <v>65</v>
      </c>
      <c r="D22" s="30" t="s">
        <v>65</v>
      </c>
      <c r="E22" s="30" t="s">
        <v>65</v>
      </c>
      <c r="F22" s="30" t="s">
        <v>65</v>
      </c>
      <c r="G22" s="29" t="s">
        <v>66</v>
      </c>
      <c r="H22" s="29"/>
      <c r="I22" s="29"/>
      <c r="J22" s="29"/>
      <c r="K22" s="29"/>
      <c r="L22" s="29"/>
      <c r="M22" s="29"/>
      <c r="N22" s="29"/>
      <c r="O22" s="17"/>
    </row>
    <row r="23" spans="1:15" ht="76.5">
      <c r="A23" s="93"/>
      <c r="B23" s="56" t="s">
        <v>72</v>
      </c>
      <c r="C23" s="29"/>
      <c r="D23" s="30"/>
      <c r="E23" s="30"/>
      <c r="F23" s="30"/>
      <c r="G23" s="29"/>
      <c r="H23" s="29"/>
      <c r="I23" s="29"/>
      <c r="J23" s="29"/>
      <c r="K23" s="29"/>
      <c r="L23" s="29"/>
      <c r="M23" s="29"/>
      <c r="N23" s="29"/>
      <c r="O23" s="17"/>
    </row>
    <row r="24" spans="1:15" ht="51">
      <c r="A24" s="93"/>
      <c r="B24" s="56" t="s">
        <v>73</v>
      </c>
      <c r="C24" s="29"/>
      <c r="D24" s="30"/>
      <c r="E24" s="30"/>
      <c r="F24" s="30"/>
      <c r="G24" s="29"/>
      <c r="H24" s="29"/>
      <c r="I24" s="29"/>
      <c r="J24" s="29"/>
      <c r="K24" s="29"/>
      <c r="L24" s="29"/>
      <c r="M24" s="29"/>
      <c r="N24" s="29"/>
      <c r="O24" s="17"/>
    </row>
    <row r="25" spans="1:15">
      <c r="A25" s="93"/>
      <c r="B25" s="80" t="s">
        <v>56</v>
      </c>
      <c r="C25" s="29"/>
      <c r="D25" s="30" t="s">
        <v>65</v>
      </c>
      <c r="E25" s="29" t="s">
        <v>65</v>
      </c>
      <c r="F25" s="29" t="s">
        <v>65</v>
      </c>
      <c r="G25" s="29" t="s">
        <v>65</v>
      </c>
      <c r="H25" s="29" t="s">
        <v>66</v>
      </c>
      <c r="I25" s="29"/>
      <c r="J25" s="29"/>
      <c r="K25" s="29"/>
      <c r="L25" s="29"/>
      <c r="M25" s="29"/>
      <c r="N25" s="29"/>
      <c r="O25" s="17"/>
    </row>
    <row r="26" spans="1:15" ht="63.75">
      <c r="A26" s="93"/>
      <c r="B26" s="56" t="s">
        <v>74</v>
      </c>
      <c r="C26" s="29"/>
      <c r="D26" s="30"/>
      <c r="E26" s="29"/>
      <c r="F26" s="29"/>
      <c r="G26" s="29"/>
      <c r="H26" s="29"/>
      <c r="I26" s="29"/>
      <c r="J26" s="29"/>
      <c r="K26" s="29"/>
      <c r="L26" s="29"/>
      <c r="M26" s="29"/>
      <c r="N26" s="29"/>
      <c r="O26" s="17"/>
    </row>
    <row r="27" spans="1:15" ht="38.25">
      <c r="A27" s="93"/>
      <c r="B27" s="56" t="s">
        <v>76</v>
      </c>
      <c r="C27" s="29"/>
      <c r="D27" s="30"/>
      <c r="E27" s="29"/>
      <c r="F27" s="29"/>
      <c r="G27" s="29"/>
      <c r="H27" s="29"/>
      <c r="I27" s="29"/>
      <c r="J27" s="29"/>
      <c r="K27" s="29"/>
      <c r="L27" s="29"/>
      <c r="M27" s="29"/>
      <c r="N27" s="29"/>
      <c r="O27" s="17"/>
    </row>
    <row r="28" spans="1:15">
      <c r="A28" s="93"/>
      <c r="B28" s="80" t="s">
        <v>57</v>
      </c>
      <c r="C28" s="29"/>
      <c r="D28" s="29"/>
      <c r="E28" s="29"/>
      <c r="F28" s="29" t="s">
        <v>65</v>
      </c>
      <c r="G28" s="29" t="s">
        <v>65</v>
      </c>
      <c r="H28" s="29" t="s">
        <v>65</v>
      </c>
      <c r="I28" s="29" t="s">
        <v>66</v>
      </c>
      <c r="J28" s="29"/>
      <c r="K28" s="29"/>
      <c r="L28" s="29"/>
      <c r="M28" s="29"/>
      <c r="N28" s="29"/>
      <c r="O28" s="17"/>
    </row>
    <row r="29" spans="1:15" ht="63.75">
      <c r="A29" s="93"/>
      <c r="B29" s="56" t="s">
        <v>77</v>
      </c>
      <c r="C29" s="29"/>
      <c r="D29" s="29"/>
      <c r="E29" s="29"/>
      <c r="F29" s="29"/>
      <c r="G29" s="29"/>
      <c r="H29" s="29"/>
      <c r="I29" s="29"/>
      <c r="J29" s="29"/>
      <c r="K29" s="29"/>
      <c r="L29" s="29"/>
      <c r="M29" s="29"/>
      <c r="N29" s="29"/>
      <c r="O29" s="17"/>
    </row>
    <row r="30" spans="1:15" ht="51">
      <c r="A30" s="93"/>
      <c r="B30" s="56" t="s">
        <v>78</v>
      </c>
      <c r="C30" s="29"/>
      <c r="D30" s="29"/>
      <c r="E30" s="29"/>
      <c r="F30" s="29"/>
      <c r="G30" s="29"/>
      <c r="H30" s="29"/>
      <c r="I30" s="29"/>
      <c r="J30" s="29"/>
      <c r="K30" s="29"/>
      <c r="L30" s="29"/>
      <c r="M30" s="29"/>
      <c r="N30" s="29"/>
      <c r="O30" s="17"/>
    </row>
    <row r="31" spans="1:15">
      <c r="A31" s="93"/>
      <c r="B31" s="80" t="s">
        <v>58</v>
      </c>
      <c r="C31" s="29"/>
      <c r="D31" s="29"/>
      <c r="E31" s="29"/>
      <c r="F31" s="29"/>
      <c r="G31" s="29" t="s">
        <v>65</v>
      </c>
      <c r="H31" s="29" t="s">
        <v>65</v>
      </c>
      <c r="I31" s="29" t="s">
        <v>66</v>
      </c>
      <c r="J31" s="29"/>
      <c r="K31" s="29"/>
      <c r="L31" s="29"/>
      <c r="M31" s="29"/>
      <c r="N31" s="29"/>
      <c r="O31" s="17"/>
    </row>
    <row r="32" spans="1:15" ht="13.15" hidden="1" customHeight="1">
      <c r="A32" s="93"/>
      <c r="B32" s="2"/>
      <c r="C32" s="29"/>
      <c r="D32" s="31"/>
      <c r="E32" s="31"/>
      <c r="F32" s="31"/>
      <c r="G32" s="31"/>
      <c r="H32" s="31"/>
      <c r="I32" s="31"/>
      <c r="J32" s="29"/>
      <c r="K32" s="29"/>
      <c r="L32" s="29"/>
      <c r="M32" s="29"/>
      <c r="N32" s="29"/>
      <c r="O32" s="17"/>
    </row>
    <row r="33" spans="1:15" ht="27" customHeight="1">
      <c r="A33" s="93"/>
      <c r="B33" s="56" t="s">
        <v>79</v>
      </c>
      <c r="C33" s="29"/>
      <c r="D33" s="31"/>
      <c r="E33" s="31"/>
      <c r="F33" s="31"/>
      <c r="G33" s="31"/>
      <c r="H33" s="31"/>
      <c r="I33" s="31"/>
      <c r="J33" s="29"/>
      <c r="K33" s="29"/>
      <c r="L33" s="29"/>
      <c r="M33" s="29"/>
      <c r="N33" s="29"/>
      <c r="O33" s="17"/>
    </row>
    <row r="34" spans="1:15" ht="25.5" customHeight="1">
      <c r="A34" s="93"/>
      <c r="B34" s="56" t="s">
        <v>80</v>
      </c>
      <c r="C34" s="29"/>
      <c r="D34" s="31"/>
      <c r="E34" s="31"/>
      <c r="F34" s="31"/>
      <c r="G34" s="31"/>
      <c r="H34" s="31"/>
      <c r="I34" s="31"/>
      <c r="J34" s="29"/>
      <c r="K34" s="29"/>
      <c r="L34" s="29"/>
      <c r="M34" s="29"/>
      <c r="N34" s="29"/>
      <c r="O34" s="17"/>
    </row>
    <row r="35" spans="1:15">
      <c r="A35" s="93"/>
      <c r="B35" s="33" t="s">
        <v>27</v>
      </c>
      <c r="C35" s="29"/>
      <c r="D35" s="29"/>
      <c r="E35" s="29"/>
      <c r="F35" s="29"/>
      <c r="G35" s="29"/>
      <c r="H35" s="29"/>
      <c r="I35" s="31" t="s">
        <v>66</v>
      </c>
      <c r="J35" s="29"/>
      <c r="K35" s="29"/>
      <c r="L35" s="29"/>
      <c r="M35" s="29"/>
      <c r="N35" s="29"/>
      <c r="O35" s="17"/>
    </row>
    <row r="36" spans="1:15" s="14" customFormat="1">
      <c r="A36" s="93"/>
      <c r="B36" s="33" t="s">
        <v>4</v>
      </c>
      <c r="C36" s="31"/>
      <c r="D36" s="31"/>
      <c r="E36" s="31"/>
      <c r="F36" s="31"/>
      <c r="G36" s="31"/>
      <c r="H36" s="31"/>
      <c r="I36" s="31" t="s">
        <v>66</v>
      </c>
      <c r="J36" s="31"/>
      <c r="K36" s="31"/>
      <c r="L36" s="31"/>
      <c r="M36" s="31"/>
      <c r="N36" s="31"/>
      <c r="O36" s="18"/>
    </row>
    <row r="37" spans="1:15" s="14" customFormat="1">
      <c r="A37" s="94"/>
      <c r="B37" s="52" t="s">
        <v>19</v>
      </c>
      <c r="C37" s="31"/>
      <c r="D37" s="31"/>
      <c r="E37" s="31"/>
      <c r="F37" s="31"/>
      <c r="G37" s="31"/>
      <c r="H37" s="31"/>
      <c r="I37" s="31" t="s">
        <v>66</v>
      </c>
      <c r="J37" s="31"/>
      <c r="K37" s="31"/>
      <c r="L37" s="31"/>
      <c r="M37" s="31"/>
      <c r="N37" s="31"/>
      <c r="O37" s="18"/>
    </row>
    <row r="38" spans="1:15" s="14" customFormat="1" ht="6.6" customHeight="1">
      <c r="A38" s="13"/>
      <c r="B38" s="15"/>
      <c r="C38" s="31"/>
      <c r="D38" s="31"/>
      <c r="E38" s="31"/>
      <c r="F38" s="31"/>
      <c r="G38" s="31"/>
      <c r="H38" s="31"/>
      <c r="I38" s="31"/>
      <c r="J38" s="31"/>
      <c r="K38" s="31"/>
      <c r="L38" s="31"/>
      <c r="M38" s="31"/>
      <c r="N38" s="31"/>
      <c r="O38" s="18"/>
    </row>
    <row r="39" spans="1:15">
      <c r="A39" s="92" t="s">
        <v>21</v>
      </c>
      <c r="B39" s="54" t="s">
        <v>8</v>
      </c>
      <c r="C39" s="29"/>
      <c r="D39" s="29"/>
      <c r="E39" s="29"/>
      <c r="F39" s="29"/>
      <c r="G39" s="29"/>
      <c r="H39" s="29"/>
      <c r="I39" s="29"/>
      <c r="J39" s="29"/>
      <c r="K39" s="29"/>
      <c r="L39" s="29"/>
      <c r="M39" s="29"/>
      <c r="N39" s="30"/>
      <c r="O39" s="17"/>
    </row>
    <row r="40" spans="1:15">
      <c r="A40" s="93"/>
      <c r="B40" s="80" t="s">
        <v>61</v>
      </c>
      <c r="C40" s="29"/>
      <c r="D40" s="29"/>
      <c r="E40" s="29"/>
      <c r="F40" s="29"/>
      <c r="G40" s="29"/>
      <c r="H40" s="29"/>
      <c r="I40" s="29" t="s">
        <v>65</v>
      </c>
      <c r="J40" s="29" t="s">
        <v>65</v>
      </c>
      <c r="K40" s="29" t="s">
        <v>65</v>
      </c>
      <c r="L40" s="29" t="s">
        <v>65</v>
      </c>
      <c r="M40" s="29" t="s">
        <v>65</v>
      </c>
      <c r="N40" s="29" t="s">
        <v>66</v>
      </c>
      <c r="O40" s="17"/>
    </row>
    <row r="41" spans="1:15" ht="63.75">
      <c r="A41" s="93"/>
      <c r="B41" s="56" t="s">
        <v>81</v>
      </c>
      <c r="C41" s="29"/>
      <c r="D41" s="29"/>
      <c r="E41" s="29"/>
      <c r="F41" s="29"/>
      <c r="G41" s="29"/>
      <c r="H41" s="29"/>
      <c r="I41" s="29"/>
      <c r="J41" s="29"/>
      <c r="K41" s="29"/>
      <c r="L41" s="29"/>
      <c r="M41" s="29"/>
      <c r="N41" s="29"/>
      <c r="O41" s="17"/>
    </row>
    <row r="42" spans="1:15" ht="51">
      <c r="A42" s="93"/>
      <c r="B42" s="56" t="s">
        <v>82</v>
      </c>
      <c r="C42" s="29"/>
      <c r="D42" s="29"/>
      <c r="E42" s="29"/>
      <c r="F42" s="29"/>
      <c r="G42" s="29"/>
      <c r="H42" s="29"/>
      <c r="I42" s="29"/>
      <c r="J42" s="29"/>
      <c r="K42" s="29"/>
      <c r="L42" s="29"/>
      <c r="M42" s="29"/>
      <c r="N42" s="29"/>
      <c r="O42" s="17"/>
    </row>
    <row r="43" spans="1:15">
      <c r="A43" s="93"/>
      <c r="B43" s="80" t="s">
        <v>60</v>
      </c>
      <c r="C43" s="29"/>
      <c r="D43" s="29"/>
      <c r="E43" s="29"/>
      <c r="F43" s="29"/>
      <c r="G43" s="29"/>
      <c r="H43" s="29"/>
      <c r="I43" s="29"/>
      <c r="J43" s="29" t="s">
        <v>65</v>
      </c>
      <c r="K43" s="29" t="s">
        <v>65</v>
      </c>
      <c r="L43" s="29" t="s">
        <v>65</v>
      </c>
      <c r="M43" s="29" t="s">
        <v>66</v>
      </c>
      <c r="N43" s="29"/>
      <c r="O43" s="17"/>
    </row>
    <row r="44" spans="1:15" ht="64.5" customHeight="1">
      <c r="A44" s="93"/>
      <c r="B44" s="56" t="s">
        <v>83</v>
      </c>
      <c r="C44" s="29"/>
      <c r="D44" s="29"/>
      <c r="E44" s="29"/>
      <c r="F44" s="29"/>
      <c r="G44" s="29"/>
      <c r="H44" s="29"/>
      <c r="I44" s="29"/>
      <c r="J44" s="29"/>
      <c r="K44" s="29"/>
      <c r="L44" s="29"/>
      <c r="M44" s="29"/>
      <c r="N44" s="29"/>
      <c r="O44" s="17"/>
    </row>
    <row r="45" spans="1:15" ht="51">
      <c r="A45" s="93"/>
      <c r="B45" s="56" t="s">
        <v>84</v>
      </c>
      <c r="C45" s="29"/>
      <c r="D45" s="29"/>
      <c r="E45" s="29"/>
      <c r="F45" s="29"/>
      <c r="G45" s="29"/>
      <c r="H45" s="29"/>
      <c r="I45" s="29"/>
      <c r="J45" s="29"/>
      <c r="K45" s="29"/>
      <c r="L45" s="29"/>
      <c r="M45" s="29"/>
      <c r="N45" s="29"/>
      <c r="O45" s="17"/>
    </row>
    <row r="46" spans="1:15">
      <c r="A46" s="93"/>
      <c r="B46" s="80" t="s">
        <v>54</v>
      </c>
      <c r="C46" s="29"/>
      <c r="D46" s="29"/>
      <c r="E46" s="29"/>
      <c r="F46" s="29"/>
      <c r="G46" s="29"/>
      <c r="H46" s="29"/>
      <c r="I46" s="29"/>
      <c r="J46" s="29"/>
      <c r="K46" s="29" t="s">
        <v>65</v>
      </c>
      <c r="L46" s="29" t="s">
        <v>65</v>
      </c>
      <c r="M46" s="29" t="s">
        <v>65</v>
      </c>
      <c r="N46" s="29" t="s">
        <v>66</v>
      </c>
      <c r="O46" s="17"/>
    </row>
    <row r="47" spans="1:15" ht="63.75">
      <c r="A47" s="93"/>
      <c r="B47" s="56" t="s">
        <v>85</v>
      </c>
      <c r="C47" s="29"/>
      <c r="D47" s="29"/>
      <c r="E47" s="29"/>
      <c r="F47" s="29"/>
      <c r="G47" s="29"/>
      <c r="H47" s="29"/>
      <c r="I47" s="29"/>
      <c r="J47" s="29"/>
      <c r="K47" s="29"/>
      <c r="L47" s="29"/>
      <c r="M47" s="29"/>
      <c r="N47" s="29"/>
      <c r="O47" s="17"/>
    </row>
    <row r="48" spans="1:15" ht="42" customHeight="1">
      <c r="A48" s="93"/>
      <c r="B48" s="56" t="s">
        <v>86</v>
      </c>
      <c r="C48" s="29"/>
      <c r="D48" s="29"/>
      <c r="E48" s="29"/>
      <c r="F48" s="29"/>
      <c r="G48" s="29"/>
      <c r="H48" s="29"/>
      <c r="I48" s="29"/>
      <c r="J48" s="29"/>
      <c r="K48" s="29"/>
      <c r="L48" s="29"/>
      <c r="M48" s="29"/>
      <c r="N48" s="29"/>
      <c r="O48" s="17"/>
    </row>
    <row r="49" spans="1:15" ht="27.6" customHeight="1">
      <c r="A49" s="93"/>
      <c r="B49" s="80" t="s">
        <v>55</v>
      </c>
      <c r="C49" s="29"/>
      <c r="D49" s="29"/>
      <c r="E49" s="29"/>
      <c r="F49" s="29"/>
      <c r="G49" s="29"/>
      <c r="H49" s="29"/>
      <c r="I49" s="29" t="s">
        <v>65</v>
      </c>
      <c r="J49" s="29" t="s">
        <v>65</v>
      </c>
      <c r="K49" s="29" t="s">
        <v>65</v>
      </c>
      <c r="L49" s="29" t="s">
        <v>65</v>
      </c>
      <c r="M49" s="29" t="s">
        <v>66</v>
      </c>
      <c r="N49" s="29"/>
      <c r="O49" s="17"/>
    </row>
    <row r="50" spans="1:15" ht="63.75">
      <c r="A50" s="93"/>
      <c r="B50" s="56" t="s">
        <v>87</v>
      </c>
      <c r="C50" s="29"/>
      <c r="D50" s="29"/>
      <c r="E50" s="29"/>
      <c r="F50" s="29"/>
      <c r="G50" s="29"/>
      <c r="H50" s="29"/>
      <c r="I50" s="29"/>
      <c r="J50" s="29"/>
      <c r="K50" s="29"/>
      <c r="L50" s="29"/>
      <c r="M50" s="29"/>
      <c r="N50" s="29"/>
      <c r="O50" s="17"/>
    </row>
    <row r="51" spans="1:15" ht="38.25">
      <c r="A51" s="93"/>
      <c r="B51" s="56" t="s">
        <v>88</v>
      </c>
      <c r="C51" s="29"/>
      <c r="D51" s="29"/>
      <c r="E51" s="29"/>
      <c r="F51" s="29"/>
      <c r="G51" s="29"/>
      <c r="H51" s="29"/>
      <c r="I51" s="29"/>
      <c r="J51" s="29"/>
      <c r="K51" s="29"/>
      <c r="L51" s="29"/>
      <c r="M51" s="29"/>
      <c r="N51" s="29"/>
      <c r="O51" s="17"/>
    </row>
    <row r="52" spans="1:15">
      <c r="A52" s="93"/>
      <c r="B52" s="80" t="s">
        <v>56</v>
      </c>
      <c r="C52" s="29"/>
      <c r="D52" s="29"/>
      <c r="E52" s="29"/>
      <c r="F52" s="29"/>
      <c r="G52" s="29"/>
      <c r="H52" s="29"/>
      <c r="I52" s="29" t="s">
        <v>65</v>
      </c>
      <c r="J52" s="29" t="s">
        <v>65</v>
      </c>
      <c r="K52" s="29" t="s">
        <v>65</v>
      </c>
      <c r="L52" s="29" t="s">
        <v>65</v>
      </c>
      <c r="M52" s="29" t="s">
        <v>65</v>
      </c>
      <c r="N52" s="29" t="s">
        <v>66</v>
      </c>
      <c r="O52" s="17"/>
    </row>
    <row r="53" spans="1:15" ht="63.75">
      <c r="A53" s="93"/>
      <c r="B53" s="56" t="s">
        <v>89</v>
      </c>
      <c r="C53" s="29"/>
      <c r="D53" s="29"/>
      <c r="E53" s="29"/>
      <c r="F53" s="29"/>
      <c r="G53" s="29"/>
      <c r="H53" s="29"/>
      <c r="I53" s="29"/>
      <c r="J53" s="29"/>
      <c r="K53" s="29"/>
      <c r="L53" s="29"/>
      <c r="M53" s="29"/>
      <c r="N53" s="29"/>
      <c r="O53" s="17"/>
    </row>
    <row r="54" spans="1:15" ht="38.25">
      <c r="A54" s="93"/>
      <c r="B54" s="56" t="s">
        <v>90</v>
      </c>
      <c r="C54" s="29"/>
      <c r="D54" s="29"/>
      <c r="E54" s="29"/>
      <c r="F54" s="29"/>
      <c r="G54" s="29"/>
      <c r="H54" s="29"/>
      <c r="I54" s="29"/>
      <c r="J54" s="29"/>
      <c r="K54" s="29"/>
      <c r="L54" s="29"/>
      <c r="M54" s="29"/>
      <c r="N54" s="29"/>
      <c r="O54" s="17"/>
    </row>
    <row r="55" spans="1:15">
      <c r="A55" s="93"/>
      <c r="B55" s="80" t="s">
        <v>57</v>
      </c>
      <c r="C55" s="29"/>
      <c r="D55" s="29"/>
      <c r="E55" s="29"/>
      <c r="F55" s="29"/>
      <c r="G55" s="29"/>
      <c r="H55" s="29"/>
      <c r="I55" s="29"/>
      <c r="J55" s="29"/>
      <c r="K55" s="29" t="s">
        <v>65</v>
      </c>
      <c r="L55" s="29" t="s">
        <v>65</v>
      </c>
      <c r="M55" s="29" t="s">
        <v>65</v>
      </c>
      <c r="N55" s="29" t="s">
        <v>66</v>
      </c>
      <c r="O55" s="17"/>
    </row>
    <row r="56" spans="1:15" ht="63.75">
      <c r="A56" s="93"/>
      <c r="B56" s="56" t="s">
        <v>91</v>
      </c>
      <c r="C56" s="29"/>
      <c r="D56" s="29"/>
      <c r="E56" s="29"/>
      <c r="F56" s="29"/>
      <c r="G56" s="29"/>
      <c r="H56" s="29"/>
      <c r="I56" s="29"/>
      <c r="J56" s="29"/>
      <c r="K56" s="29"/>
      <c r="L56" s="29"/>
      <c r="M56" s="29"/>
      <c r="N56" s="29"/>
      <c r="O56" s="17"/>
    </row>
    <row r="57" spans="1:15" ht="51">
      <c r="A57" s="93"/>
      <c r="B57" s="56" t="s">
        <v>92</v>
      </c>
      <c r="C57" s="29"/>
      <c r="D57" s="29"/>
      <c r="E57" s="29"/>
      <c r="F57" s="29"/>
      <c r="G57" s="29"/>
      <c r="H57" s="29"/>
      <c r="I57" s="29"/>
      <c r="J57" s="29"/>
      <c r="K57" s="29"/>
      <c r="L57" s="29"/>
      <c r="M57" s="29"/>
      <c r="N57" s="29"/>
      <c r="O57" s="17"/>
    </row>
    <row r="58" spans="1:15">
      <c r="A58" s="93"/>
      <c r="B58" s="81" t="s">
        <v>58</v>
      </c>
      <c r="C58" s="29"/>
      <c r="D58" s="29"/>
      <c r="E58" s="29"/>
      <c r="F58" s="29"/>
      <c r="G58" s="29"/>
      <c r="H58" s="29"/>
      <c r="I58" s="29"/>
      <c r="J58" s="29"/>
      <c r="K58" s="29"/>
      <c r="L58" s="29" t="s">
        <v>65</v>
      </c>
      <c r="M58" s="29" t="s">
        <v>65</v>
      </c>
      <c r="N58" s="29" t="s">
        <v>66</v>
      </c>
      <c r="O58" s="17"/>
    </row>
    <row r="59" spans="1:15" ht="38.25">
      <c r="A59" s="93"/>
      <c r="B59" s="56" t="s">
        <v>93</v>
      </c>
      <c r="C59" s="29"/>
      <c r="D59" s="29"/>
      <c r="E59" s="29"/>
      <c r="F59" s="29"/>
      <c r="G59" s="29"/>
      <c r="H59" s="29"/>
      <c r="I59" s="29"/>
      <c r="J59" s="29"/>
      <c r="K59" s="29"/>
      <c r="L59" s="29"/>
      <c r="M59" s="29"/>
      <c r="N59" s="29"/>
      <c r="O59" s="17"/>
    </row>
    <row r="60" spans="1:15" ht="25.5">
      <c r="A60" s="93"/>
      <c r="B60" s="56" t="s">
        <v>94</v>
      </c>
      <c r="C60" s="29"/>
      <c r="D60" s="29"/>
      <c r="E60" s="29"/>
      <c r="F60" s="29"/>
      <c r="G60" s="29"/>
      <c r="H60" s="29"/>
      <c r="I60" s="29"/>
      <c r="J60" s="29"/>
      <c r="K60" s="29"/>
      <c r="L60" s="29"/>
      <c r="M60" s="29"/>
      <c r="N60" s="29"/>
      <c r="O60" s="17"/>
    </row>
    <row r="61" spans="1:15">
      <c r="A61" s="93"/>
      <c r="B61" s="33" t="s">
        <v>28</v>
      </c>
      <c r="C61" s="29"/>
      <c r="D61" s="29"/>
      <c r="E61" s="29"/>
      <c r="F61" s="29"/>
      <c r="G61" s="29"/>
      <c r="H61" s="29"/>
      <c r="I61" s="29"/>
      <c r="J61" s="29"/>
      <c r="K61" s="29"/>
      <c r="L61" s="29"/>
      <c r="M61" s="29"/>
      <c r="N61" s="29" t="s">
        <v>66</v>
      </c>
      <c r="O61" s="17"/>
    </row>
    <row r="62" spans="1:15">
      <c r="A62" s="93"/>
      <c r="B62" s="33" t="s">
        <v>4</v>
      </c>
      <c r="C62" s="29"/>
      <c r="D62" s="29"/>
      <c r="E62" s="29"/>
      <c r="F62" s="29"/>
      <c r="G62" s="29"/>
      <c r="H62" s="29"/>
      <c r="I62" s="29"/>
      <c r="J62" s="29"/>
      <c r="K62" s="29"/>
      <c r="L62" s="29"/>
      <c r="M62" s="29"/>
      <c r="N62" s="29" t="s">
        <v>66</v>
      </c>
      <c r="O62" s="73"/>
    </row>
    <row r="63" spans="1:15">
      <c r="A63" s="94"/>
      <c r="B63" s="82" t="s">
        <v>20</v>
      </c>
      <c r="C63" s="34"/>
      <c r="D63" s="34"/>
      <c r="E63" s="34"/>
      <c r="F63" s="34"/>
      <c r="G63" s="34"/>
      <c r="H63" s="34"/>
      <c r="I63" s="34"/>
      <c r="J63" s="34"/>
      <c r="K63" s="34"/>
      <c r="L63" s="34"/>
      <c r="M63" s="34"/>
      <c r="N63" s="34" t="s">
        <v>66</v>
      </c>
      <c r="O63" s="73"/>
    </row>
    <row r="64" spans="1:15" ht="6" customHeight="1" thickBot="1">
      <c r="A64" s="70"/>
      <c r="B64" s="48"/>
      <c r="C64" s="71"/>
      <c r="D64" s="71"/>
      <c r="E64" s="71"/>
      <c r="F64" s="71"/>
      <c r="G64" s="71"/>
      <c r="H64" s="71"/>
      <c r="I64" s="71"/>
      <c r="J64" s="71"/>
      <c r="K64" s="71"/>
      <c r="L64" s="71"/>
      <c r="M64" s="71"/>
      <c r="N64" s="71"/>
      <c r="O64" s="17"/>
    </row>
    <row r="65" spans="1:15">
      <c r="A65" s="100" t="s">
        <v>59</v>
      </c>
      <c r="B65" s="101"/>
      <c r="C65" s="41">
        <f>SUM(C66:C74)</f>
        <v>1</v>
      </c>
      <c r="D65" s="41">
        <f t="shared" ref="D65:N65" si="5">SUM(D66:D74)</f>
        <v>1</v>
      </c>
      <c r="E65" s="41">
        <f t="shared" si="5"/>
        <v>1</v>
      </c>
      <c r="F65" s="41">
        <f t="shared" si="5"/>
        <v>1</v>
      </c>
      <c r="G65" s="41">
        <f t="shared" si="5"/>
        <v>1</v>
      </c>
      <c r="H65" s="41">
        <f t="shared" si="5"/>
        <v>1</v>
      </c>
      <c r="I65" s="41">
        <f t="shared" si="5"/>
        <v>1</v>
      </c>
      <c r="J65" s="41">
        <f t="shared" si="5"/>
        <v>1</v>
      </c>
      <c r="K65" s="41">
        <f t="shared" ref="K65:L65" si="6">SUM(K66:K74)</f>
        <v>1</v>
      </c>
      <c r="L65" s="41">
        <f t="shared" si="6"/>
        <v>1</v>
      </c>
      <c r="M65" s="41">
        <f t="shared" si="5"/>
        <v>1</v>
      </c>
      <c r="N65" s="41">
        <f t="shared" si="5"/>
        <v>1</v>
      </c>
      <c r="O65" s="72" t="str">
        <f t="shared" ref="O65:O73" si="7">CONCATENATE(SUM(C65:N65)," PM")</f>
        <v>12 PM</v>
      </c>
    </row>
    <row r="66" spans="1:15" s="7" customFormat="1">
      <c r="A66" s="4"/>
      <c r="B66" s="68" t="s">
        <v>95</v>
      </c>
      <c r="C66" s="6">
        <v>1</v>
      </c>
      <c r="D66" s="6">
        <v>1</v>
      </c>
      <c r="E66" s="6">
        <v>1</v>
      </c>
      <c r="F66" s="6">
        <v>1</v>
      </c>
      <c r="G66" s="6">
        <v>1</v>
      </c>
      <c r="H66" s="6">
        <v>1</v>
      </c>
      <c r="I66" s="6">
        <v>1</v>
      </c>
      <c r="J66" s="6">
        <v>1</v>
      </c>
      <c r="K66" s="6">
        <v>1</v>
      </c>
      <c r="L66" s="6">
        <v>1</v>
      </c>
      <c r="M66" s="6">
        <v>1</v>
      </c>
      <c r="N66" s="6">
        <v>1</v>
      </c>
      <c r="O66" s="19" t="str">
        <f t="shared" si="7"/>
        <v>12 PM</v>
      </c>
    </row>
    <row r="67" spans="1:15" s="7" customFormat="1">
      <c r="A67" s="4"/>
      <c r="B67" s="68" t="s">
        <v>9</v>
      </c>
      <c r="C67" s="6"/>
      <c r="D67" s="6"/>
      <c r="E67" s="6"/>
      <c r="F67" s="6"/>
      <c r="G67" s="6"/>
      <c r="H67" s="6"/>
      <c r="I67" s="6"/>
      <c r="J67" s="6"/>
      <c r="K67" s="6"/>
      <c r="L67" s="6"/>
      <c r="M67" s="6"/>
      <c r="N67" s="6"/>
      <c r="O67" s="19" t="str">
        <f t="shared" si="7"/>
        <v>0 PM</v>
      </c>
    </row>
    <row r="68" spans="1:15" s="7" customFormat="1">
      <c r="A68" s="4"/>
      <c r="B68" s="68" t="s">
        <v>10</v>
      </c>
      <c r="C68" s="6"/>
      <c r="D68" s="6"/>
      <c r="E68" s="6"/>
      <c r="F68" s="6"/>
      <c r="G68" s="6"/>
      <c r="H68" s="6"/>
      <c r="I68" s="6"/>
      <c r="J68" s="6"/>
      <c r="K68" s="6"/>
      <c r="L68" s="6"/>
      <c r="M68" s="6"/>
      <c r="N68" s="6"/>
      <c r="O68" s="19" t="str">
        <f t="shared" si="7"/>
        <v>0 PM</v>
      </c>
    </row>
    <row r="69" spans="1:15" s="7" customFormat="1">
      <c r="A69" s="4"/>
      <c r="B69" s="68" t="s">
        <v>11</v>
      </c>
      <c r="C69" s="6"/>
      <c r="D69" s="6"/>
      <c r="E69" s="6"/>
      <c r="F69" s="6"/>
      <c r="G69" s="6"/>
      <c r="H69" s="6"/>
      <c r="I69" s="6"/>
      <c r="J69" s="6"/>
      <c r="K69" s="6"/>
      <c r="L69" s="6"/>
      <c r="M69" s="6"/>
      <c r="N69" s="6"/>
      <c r="O69" s="19" t="str">
        <f t="shared" si="7"/>
        <v>0 PM</v>
      </c>
    </row>
    <row r="70" spans="1:15" s="7" customFormat="1">
      <c r="A70" s="4"/>
      <c r="B70" s="68" t="s">
        <v>12</v>
      </c>
      <c r="C70" s="6"/>
      <c r="D70" s="6"/>
      <c r="E70" s="6"/>
      <c r="F70" s="6"/>
      <c r="G70" s="6"/>
      <c r="H70" s="6"/>
      <c r="I70" s="6"/>
      <c r="J70" s="6"/>
      <c r="K70" s="6"/>
      <c r="L70" s="6"/>
      <c r="M70" s="6"/>
      <c r="N70" s="6"/>
      <c r="O70" s="19" t="str">
        <f t="shared" si="7"/>
        <v>0 PM</v>
      </c>
    </row>
    <row r="71" spans="1:15" s="7" customFormat="1">
      <c r="A71" s="4"/>
      <c r="B71" s="68" t="s">
        <v>36</v>
      </c>
      <c r="C71" s="6"/>
      <c r="D71" s="6"/>
      <c r="E71" s="6"/>
      <c r="F71" s="6"/>
      <c r="G71" s="6"/>
      <c r="H71" s="6"/>
      <c r="I71" s="6"/>
      <c r="J71" s="6"/>
      <c r="K71" s="6"/>
      <c r="L71" s="6"/>
      <c r="M71" s="6"/>
      <c r="N71" s="6"/>
      <c r="O71" s="19" t="str">
        <f t="shared" si="7"/>
        <v>0 PM</v>
      </c>
    </row>
    <row r="72" spans="1:15" s="7" customFormat="1">
      <c r="A72" s="4"/>
      <c r="B72" s="68" t="s">
        <v>37</v>
      </c>
      <c r="C72" s="6"/>
      <c r="D72" s="6"/>
      <c r="E72" s="6"/>
      <c r="F72" s="6"/>
      <c r="G72" s="6"/>
      <c r="H72" s="6"/>
      <c r="I72" s="6"/>
      <c r="J72" s="6"/>
      <c r="K72" s="6"/>
      <c r="L72" s="6"/>
      <c r="M72" s="6"/>
      <c r="N72" s="6"/>
      <c r="O72" s="19" t="str">
        <f t="shared" si="7"/>
        <v>0 PM</v>
      </c>
    </row>
    <row r="73" spans="1:15" s="7" customFormat="1">
      <c r="A73" s="4"/>
      <c r="B73" s="68" t="s">
        <v>39</v>
      </c>
      <c r="C73" s="6"/>
      <c r="D73" s="6"/>
      <c r="E73" s="6"/>
      <c r="F73" s="6"/>
      <c r="G73" s="6"/>
      <c r="H73" s="6"/>
      <c r="I73" s="6"/>
      <c r="J73" s="6"/>
      <c r="K73" s="6"/>
      <c r="L73" s="6"/>
      <c r="M73" s="6"/>
      <c r="N73" s="6"/>
      <c r="O73" s="19" t="str">
        <f t="shared" si="7"/>
        <v>0 PM</v>
      </c>
    </row>
    <row r="74" spans="1:15" s="7" customFormat="1" ht="6.75" customHeight="1" thickBot="1">
      <c r="A74" s="74"/>
      <c r="B74" s="75"/>
      <c r="C74" s="76"/>
      <c r="D74" s="76"/>
      <c r="E74" s="76"/>
      <c r="F74" s="76"/>
      <c r="G74" s="76"/>
      <c r="H74" s="76"/>
      <c r="I74" s="76"/>
      <c r="J74" s="76"/>
      <c r="K74" s="76"/>
      <c r="L74" s="76"/>
      <c r="M74" s="76"/>
      <c r="N74" s="76"/>
      <c r="O74" s="19"/>
    </row>
    <row r="75" spans="1:15" ht="13.5" thickBot="1">
      <c r="A75" s="102" t="s">
        <v>26</v>
      </c>
      <c r="B75" s="103"/>
      <c r="C75" s="88">
        <f>SUM(C76:C91)</f>
        <v>4000</v>
      </c>
      <c r="D75" s="88">
        <f t="shared" ref="D75:N75" si="8">SUM(D76:D91)</f>
        <v>4820</v>
      </c>
      <c r="E75" s="88">
        <f t="shared" si="8"/>
        <v>4470</v>
      </c>
      <c r="F75" s="88">
        <f t="shared" si="8"/>
        <v>4520</v>
      </c>
      <c r="G75" s="88">
        <f t="shared" si="8"/>
        <v>4570</v>
      </c>
      <c r="H75" s="88">
        <f t="shared" si="8"/>
        <v>5020</v>
      </c>
      <c r="I75" s="88">
        <f t="shared" si="8"/>
        <v>4795</v>
      </c>
      <c r="J75" s="88">
        <f t="shared" si="8"/>
        <v>4795</v>
      </c>
      <c r="K75" s="88">
        <f t="shared" si="8"/>
        <v>4895</v>
      </c>
      <c r="L75" s="88">
        <f t="shared" si="8"/>
        <v>5395</v>
      </c>
      <c r="M75" s="88">
        <f t="shared" si="8"/>
        <v>4995</v>
      </c>
      <c r="N75" s="88">
        <f t="shared" si="8"/>
        <v>4995</v>
      </c>
      <c r="O75" s="79">
        <f t="shared" ref="O75:O80" si="9">SUM(C75:N75)</f>
        <v>57270</v>
      </c>
    </row>
    <row r="76" spans="1:15" s="7" customFormat="1" ht="14.25" customHeight="1">
      <c r="A76" s="106" t="s">
        <v>45</v>
      </c>
      <c r="B76" s="77" t="s">
        <v>95</v>
      </c>
      <c r="C76" s="78">
        <v>4000</v>
      </c>
      <c r="D76" s="78">
        <v>4000</v>
      </c>
      <c r="E76" s="78">
        <v>4000</v>
      </c>
      <c r="F76" s="78">
        <v>4000</v>
      </c>
      <c r="G76" s="78">
        <v>4000</v>
      </c>
      <c r="H76" s="78">
        <v>4000</v>
      </c>
      <c r="I76" s="78">
        <v>4000</v>
      </c>
      <c r="J76" s="78">
        <v>4000</v>
      </c>
      <c r="K76" s="78">
        <v>4000</v>
      </c>
      <c r="L76" s="78">
        <v>4000</v>
      </c>
      <c r="M76" s="78">
        <v>4000</v>
      </c>
      <c r="N76" s="78">
        <v>4000</v>
      </c>
      <c r="O76" s="26">
        <f t="shared" si="9"/>
        <v>48000</v>
      </c>
    </row>
    <row r="77" spans="1:15" s="7" customFormat="1">
      <c r="A77" s="107"/>
      <c r="B77" s="68" t="s">
        <v>9</v>
      </c>
      <c r="C77" s="27"/>
      <c r="D77" s="27"/>
      <c r="E77" s="27"/>
      <c r="F77" s="27"/>
      <c r="G77" s="27"/>
      <c r="H77" s="27"/>
      <c r="I77" s="27"/>
      <c r="J77" s="27"/>
      <c r="K77" s="27"/>
      <c r="L77" s="27"/>
      <c r="M77" s="27"/>
      <c r="N77" s="27"/>
      <c r="O77" s="26">
        <f t="shared" si="9"/>
        <v>0</v>
      </c>
    </row>
    <row r="78" spans="1:15" s="7" customFormat="1">
      <c r="A78" s="107"/>
      <c r="B78" s="68" t="s">
        <v>10</v>
      </c>
      <c r="C78" s="27"/>
      <c r="D78" s="27"/>
      <c r="E78" s="27"/>
      <c r="F78" s="27"/>
      <c r="G78" s="27"/>
      <c r="H78" s="27"/>
      <c r="I78" s="27"/>
      <c r="J78" s="27"/>
      <c r="K78" s="27"/>
      <c r="L78" s="27"/>
      <c r="M78" s="27"/>
      <c r="N78" s="27"/>
      <c r="O78" s="26">
        <f t="shared" si="9"/>
        <v>0</v>
      </c>
    </row>
    <row r="79" spans="1:15" s="7" customFormat="1">
      <c r="A79" s="107"/>
      <c r="B79" s="68" t="s">
        <v>11</v>
      </c>
      <c r="C79" s="28"/>
      <c r="D79" s="28"/>
      <c r="E79" s="28"/>
      <c r="F79" s="28"/>
      <c r="G79" s="28"/>
      <c r="H79" s="28"/>
      <c r="I79" s="28"/>
      <c r="J79" s="28"/>
      <c r="K79" s="28"/>
      <c r="L79" s="28"/>
      <c r="M79" s="28"/>
      <c r="N79" s="28"/>
      <c r="O79" s="26">
        <f t="shared" si="9"/>
        <v>0</v>
      </c>
    </row>
    <row r="80" spans="1:15" s="7" customFormat="1">
      <c r="A80" s="108"/>
      <c r="B80" s="68" t="s">
        <v>23</v>
      </c>
      <c r="C80" s="28"/>
      <c r="D80" s="28"/>
      <c r="E80" s="28"/>
      <c r="F80" s="28"/>
      <c r="G80" s="28"/>
      <c r="H80" s="28"/>
      <c r="I80" s="28"/>
      <c r="J80" s="28"/>
      <c r="K80" s="28"/>
      <c r="L80" s="28"/>
      <c r="M80" s="28"/>
      <c r="N80" s="28"/>
      <c r="O80" s="26">
        <f t="shared" si="9"/>
        <v>0</v>
      </c>
    </row>
    <row r="81" spans="1:15" s="7" customFormat="1">
      <c r="A81" s="107" t="s">
        <v>46</v>
      </c>
      <c r="B81" s="68" t="s">
        <v>12</v>
      </c>
      <c r="C81" s="28"/>
      <c r="D81" s="28"/>
      <c r="E81" s="28"/>
      <c r="F81" s="28"/>
      <c r="G81" s="28"/>
      <c r="H81" s="28"/>
      <c r="I81" s="28"/>
      <c r="J81" s="28"/>
      <c r="K81" s="28"/>
      <c r="L81" s="28"/>
      <c r="M81" s="28"/>
      <c r="N81" s="28"/>
      <c r="O81" s="26">
        <f t="shared" ref="O81:O82" si="10">SUM(C81:N81)</f>
        <v>0</v>
      </c>
    </row>
    <row r="82" spans="1:15" s="7" customFormat="1">
      <c r="A82" s="107"/>
      <c r="B82" s="68" t="s">
        <v>36</v>
      </c>
      <c r="C82" s="28"/>
      <c r="D82" s="28"/>
      <c r="E82" s="28"/>
      <c r="F82" s="28"/>
      <c r="G82" s="28"/>
      <c r="H82" s="28"/>
      <c r="I82" s="28"/>
      <c r="J82" s="28"/>
      <c r="K82" s="28"/>
      <c r="L82" s="28"/>
      <c r="M82" s="28"/>
      <c r="N82" s="28"/>
      <c r="O82" s="26">
        <f t="shared" si="10"/>
        <v>0</v>
      </c>
    </row>
    <row r="83" spans="1:15" s="7" customFormat="1">
      <c r="A83" s="107"/>
      <c r="B83" s="68" t="s">
        <v>37</v>
      </c>
      <c r="C83" s="28"/>
      <c r="D83" s="28"/>
      <c r="E83" s="28"/>
      <c r="F83" s="28"/>
      <c r="G83" s="28"/>
      <c r="H83" s="28"/>
      <c r="I83" s="28"/>
      <c r="J83" s="28"/>
      <c r="K83" s="28"/>
      <c r="L83" s="28"/>
      <c r="M83" s="28"/>
      <c r="N83" s="28"/>
      <c r="O83" s="26">
        <f>SUM(C83:N83)</f>
        <v>0</v>
      </c>
    </row>
    <row r="84" spans="1:15" s="7" customFormat="1">
      <c r="A84" s="107"/>
      <c r="B84" s="68" t="s">
        <v>38</v>
      </c>
      <c r="C84" s="28"/>
      <c r="D84" s="28"/>
      <c r="E84" s="28"/>
      <c r="F84" s="28"/>
      <c r="G84" s="28"/>
      <c r="H84" s="28"/>
      <c r="I84" s="28"/>
      <c r="J84" s="28"/>
      <c r="K84" s="28"/>
      <c r="L84" s="28"/>
      <c r="M84" s="28"/>
      <c r="N84" s="28"/>
      <c r="O84" s="26">
        <f>SUM(C84:N84)</f>
        <v>0</v>
      </c>
    </row>
    <row r="85" spans="1:15" s="7" customFormat="1">
      <c r="A85" s="108"/>
      <c r="B85" s="68" t="s">
        <v>23</v>
      </c>
      <c r="C85" s="28"/>
      <c r="D85" s="28"/>
      <c r="E85" s="28"/>
      <c r="F85" s="28"/>
      <c r="G85" s="28"/>
      <c r="H85" s="28"/>
      <c r="I85" s="28"/>
      <c r="J85" s="28"/>
      <c r="K85" s="28"/>
      <c r="L85" s="28"/>
      <c r="M85" s="28"/>
      <c r="N85" s="28"/>
      <c r="O85" s="26">
        <f t="shared" ref="O85:O89" si="11">SUM(C85:N85)</f>
        <v>0</v>
      </c>
    </row>
    <row r="86" spans="1:15" s="7" customFormat="1">
      <c r="A86" s="38" t="s">
        <v>14</v>
      </c>
      <c r="B86" s="10" t="s">
        <v>47</v>
      </c>
      <c r="C86" s="28"/>
      <c r="D86" s="28">
        <v>50</v>
      </c>
      <c r="E86" s="28">
        <v>50</v>
      </c>
      <c r="F86" s="28">
        <v>50</v>
      </c>
      <c r="G86" s="28">
        <v>50</v>
      </c>
      <c r="H86" s="28">
        <v>50</v>
      </c>
      <c r="I86" s="28">
        <v>50</v>
      </c>
      <c r="J86" s="28">
        <v>50</v>
      </c>
      <c r="K86" s="28">
        <v>50</v>
      </c>
      <c r="L86" s="28">
        <v>50</v>
      </c>
      <c r="M86" s="28">
        <v>50</v>
      </c>
      <c r="N86" s="28">
        <v>50</v>
      </c>
      <c r="O86" s="26">
        <f t="shared" si="11"/>
        <v>550</v>
      </c>
    </row>
    <row r="87" spans="1:15" s="7" customFormat="1">
      <c r="A87" s="39" t="s">
        <v>15</v>
      </c>
      <c r="B87" s="10" t="s">
        <v>48</v>
      </c>
      <c r="C87" s="28"/>
      <c r="D87" s="28">
        <v>550</v>
      </c>
      <c r="E87" s="28">
        <v>50</v>
      </c>
      <c r="F87" s="28">
        <v>50</v>
      </c>
      <c r="G87" s="28">
        <v>50</v>
      </c>
      <c r="H87" s="28">
        <v>450</v>
      </c>
      <c r="I87" s="28">
        <v>50</v>
      </c>
      <c r="J87" s="28">
        <v>50</v>
      </c>
      <c r="K87" s="28">
        <v>50</v>
      </c>
      <c r="L87" s="28">
        <v>550</v>
      </c>
      <c r="M87" s="28">
        <v>50</v>
      </c>
      <c r="N87" s="28">
        <v>50</v>
      </c>
      <c r="O87" s="26">
        <f t="shared" si="11"/>
        <v>1950</v>
      </c>
    </row>
    <row r="88" spans="1:15" s="7" customFormat="1">
      <c r="A88" s="109" t="s">
        <v>13</v>
      </c>
      <c r="B88" s="10" t="s">
        <v>49</v>
      </c>
      <c r="C88" s="28"/>
      <c r="D88" s="28">
        <v>170</v>
      </c>
      <c r="E88" s="28">
        <v>320</v>
      </c>
      <c r="F88" s="28">
        <v>370</v>
      </c>
      <c r="G88" s="28">
        <v>420</v>
      </c>
      <c r="H88" s="28">
        <v>470</v>
      </c>
      <c r="I88" s="28">
        <v>545</v>
      </c>
      <c r="J88" s="28">
        <v>545</v>
      </c>
      <c r="K88" s="28">
        <v>645</v>
      </c>
      <c r="L88" s="28">
        <v>645</v>
      </c>
      <c r="M88" s="28">
        <v>745</v>
      </c>
      <c r="N88" s="28">
        <v>745</v>
      </c>
      <c r="O88" s="26">
        <f t="shared" si="11"/>
        <v>5620</v>
      </c>
    </row>
    <row r="89" spans="1:15" s="7" customFormat="1">
      <c r="A89" s="107"/>
      <c r="B89" s="10" t="s">
        <v>50</v>
      </c>
      <c r="C89" s="28"/>
      <c r="D89" s="28">
        <v>50</v>
      </c>
      <c r="E89" s="28">
        <v>50</v>
      </c>
      <c r="F89" s="28">
        <v>50</v>
      </c>
      <c r="G89" s="28">
        <v>50</v>
      </c>
      <c r="H89" s="28">
        <v>50</v>
      </c>
      <c r="I89" s="28">
        <v>150</v>
      </c>
      <c r="J89" s="28">
        <v>150</v>
      </c>
      <c r="K89" s="28">
        <v>150</v>
      </c>
      <c r="L89" s="28">
        <v>150</v>
      </c>
      <c r="M89" s="28">
        <v>150</v>
      </c>
      <c r="N89" s="28">
        <v>150</v>
      </c>
      <c r="O89" s="26">
        <f t="shared" si="11"/>
        <v>1150</v>
      </c>
    </row>
    <row r="90" spans="1:15" s="7" customFormat="1">
      <c r="A90" s="108"/>
      <c r="B90" s="67" t="s">
        <v>51</v>
      </c>
      <c r="C90" s="28"/>
      <c r="D90" s="28"/>
      <c r="E90" s="28"/>
      <c r="F90" s="28"/>
      <c r="G90" s="28"/>
      <c r="H90" s="28"/>
      <c r="I90" s="28"/>
      <c r="J90" s="28"/>
      <c r="K90" s="28"/>
      <c r="L90" s="28"/>
      <c r="M90" s="28"/>
      <c r="N90" s="28"/>
      <c r="O90" s="26">
        <f>SUM(C90:N90)</f>
        <v>0</v>
      </c>
    </row>
    <row r="91" spans="1:15" s="7" customFormat="1" ht="5.45" customHeight="1" thickBot="1">
      <c r="A91" s="9"/>
      <c r="B91" s="8"/>
      <c r="C91" s="24"/>
      <c r="D91" s="24"/>
      <c r="E91" s="24"/>
      <c r="F91" s="24"/>
      <c r="G91" s="24"/>
      <c r="H91" s="24"/>
      <c r="I91" s="24"/>
      <c r="J91" s="24"/>
      <c r="K91" s="24"/>
      <c r="L91" s="24"/>
      <c r="M91" s="24"/>
      <c r="N91" s="24"/>
      <c r="O91" s="20"/>
    </row>
    <row r="92" spans="1:15">
      <c r="A92" s="104" t="s">
        <v>1</v>
      </c>
      <c r="B92" s="105"/>
      <c r="C92" s="83">
        <f t="shared" ref="C92:N92" si="12">SUM(C93:C95)</f>
        <v>11770</v>
      </c>
      <c r="D92" s="83">
        <f>SUM(D93:D95)</f>
        <v>18200</v>
      </c>
      <c r="E92" s="83">
        <f t="shared" si="12"/>
        <v>0</v>
      </c>
      <c r="F92" s="83">
        <f t="shared" si="12"/>
        <v>0</v>
      </c>
      <c r="G92" s="83">
        <f t="shared" si="12"/>
        <v>0</v>
      </c>
      <c r="H92" s="83">
        <f t="shared" si="12"/>
        <v>0</v>
      </c>
      <c r="I92" s="83">
        <f t="shared" si="12"/>
        <v>18200</v>
      </c>
      <c r="J92" s="83">
        <f t="shared" si="12"/>
        <v>0</v>
      </c>
      <c r="K92" s="83">
        <f t="shared" si="12"/>
        <v>0</v>
      </c>
      <c r="L92" s="83">
        <f t="shared" si="12"/>
        <v>0</v>
      </c>
      <c r="M92" s="83">
        <f t="shared" si="12"/>
        <v>0</v>
      </c>
      <c r="N92" s="83">
        <f t="shared" si="12"/>
        <v>9100</v>
      </c>
      <c r="O92" s="25">
        <f>SUM(C92:N92)</f>
        <v>57270</v>
      </c>
    </row>
    <row r="93" spans="1:15" s="7" customFormat="1">
      <c r="A93" s="4"/>
      <c r="B93" s="5" t="s">
        <v>44</v>
      </c>
      <c r="C93" s="84">
        <v>11770</v>
      </c>
      <c r="D93" s="84"/>
      <c r="E93" s="85"/>
      <c r="F93" s="85"/>
      <c r="G93" s="85"/>
      <c r="H93" s="85"/>
      <c r="I93" s="85"/>
      <c r="J93" s="85"/>
      <c r="K93" s="85"/>
      <c r="L93" s="85"/>
      <c r="M93" s="85"/>
      <c r="N93" s="85"/>
      <c r="O93" s="26">
        <f>SUM(C93:N93)</f>
        <v>11770</v>
      </c>
    </row>
    <row r="94" spans="1:15" s="7" customFormat="1">
      <c r="A94" s="4"/>
      <c r="B94" s="5" t="s">
        <v>62</v>
      </c>
      <c r="C94" s="84"/>
      <c r="E94" s="85"/>
      <c r="F94" s="85"/>
      <c r="G94" s="85"/>
      <c r="H94" s="85"/>
      <c r="I94" s="85"/>
      <c r="J94" s="85"/>
      <c r="K94" s="85"/>
      <c r="L94" s="85"/>
      <c r="M94" s="85"/>
      <c r="N94" s="85"/>
      <c r="O94" s="26">
        <f>SUM(C94:N94)</f>
        <v>0</v>
      </c>
    </row>
    <row r="95" spans="1:15" s="7" customFormat="1" ht="13.5" thickBot="1">
      <c r="A95" s="4"/>
      <c r="B95" s="87" t="s">
        <v>22</v>
      </c>
      <c r="C95" s="84"/>
      <c r="D95" s="84">
        <v>18200</v>
      </c>
      <c r="E95" s="85"/>
      <c r="F95" s="85"/>
      <c r="G95" s="85"/>
      <c r="H95" s="85"/>
      <c r="I95" s="85">
        <v>18200</v>
      </c>
      <c r="J95" s="85"/>
      <c r="K95" s="85"/>
      <c r="L95" s="85"/>
      <c r="M95" s="85"/>
      <c r="N95" s="85">
        <v>9100</v>
      </c>
      <c r="O95" s="26">
        <f t="shared" ref="O95" si="13">SUM(C95:N95)</f>
        <v>45500</v>
      </c>
    </row>
    <row r="96" spans="1:15" ht="13.5" thickBot="1">
      <c r="A96" s="98" t="s">
        <v>2</v>
      </c>
      <c r="B96" s="99"/>
      <c r="C96" s="58">
        <f>SUM($C92:C92)-SUM($C75:C75)</f>
        <v>7770</v>
      </c>
      <c r="D96" s="58">
        <f>SUM($C92:D92)-SUM($C75:D75)</f>
        <v>21150</v>
      </c>
      <c r="E96" s="58">
        <f>SUM($C92:E92)-SUM($C75:E75)</f>
        <v>16680</v>
      </c>
      <c r="F96" s="58">
        <f>SUM($C92:F92)-SUM($C75:F75)</f>
        <v>12160</v>
      </c>
      <c r="G96" s="58">
        <f>SUM($C92:G92)-SUM($C75:G75)</f>
        <v>7590</v>
      </c>
      <c r="H96" s="58">
        <f>SUM($C92:H92)-SUM($C75:H75)</f>
        <v>2570</v>
      </c>
      <c r="I96" s="58">
        <f>SUM($C92:I92)-SUM($C75:I75)</f>
        <v>15975</v>
      </c>
      <c r="J96" s="58">
        <f>SUM($C92:J92)-SUM($C75:J75)</f>
        <v>11180</v>
      </c>
      <c r="K96" s="58">
        <f>SUM($C92:K92)-SUM($C75:K75)</f>
        <v>6285</v>
      </c>
      <c r="L96" s="58">
        <f>SUM($C92:L92)-SUM($C75:L75)</f>
        <v>890</v>
      </c>
      <c r="M96" s="58">
        <f>SUM($C92:M92)-SUM($C75:M75)</f>
        <v>-4105</v>
      </c>
      <c r="N96" s="69">
        <f>SUM($C92:N92)-SUM($C75:N75)</f>
        <v>0</v>
      </c>
      <c r="O96" s="86">
        <f>O92-O75</f>
        <v>0</v>
      </c>
    </row>
    <row r="97" spans="1:1" ht="6.75" customHeight="1"/>
    <row r="98" spans="1:1">
      <c r="A98" s="12" t="s">
        <v>29</v>
      </c>
    </row>
    <row r="99" spans="1:1">
      <c r="A99" s="12" t="s">
        <v>30</v>
      </c>
    </row>
  </sheetData>
  <sheetProtection selectLockedCells="1" selectUnlockedCells="1"/>
  <mergeCells count="12">
    <mergeCell ref="A96:B96"/>
    <mergeCell ref="A65:B65"/>
    <mergeCell ref="A75:B75"/>
    <mergeCell ref="A92:B92"/>
    <mergeCell ref="A76:A80"/>
    <mergeCell ref="A81:A85"/>
    <mergeCell ref="A88:A90"/>
    <mergeCell ref="A5:A10"/>
    <mergeCell ref="A12:A37"/>
    <mergeCell ref="A39:A63"/>
    <mergeCell ref="A1:AA1"/>
    <mergeCell ref="A2:B2"/>
  </mergeCells>
  <phoneticPr fontId="1" type="noConversion"/>
  <conditionalFormatting sqref="C5:J12 I37:J54 J36 I35:I36">
    <cfRule type="cellIs" dxfId="5" priority="21" stopIfTrue="1" operator="equal">
      <formula>"m"</formula>
    </cfRule>
    <cfRule type="cellIs" dxfId="4" priority="22" stopIfTrue="1" operator="notEqual">
      <formula>""</formula>
    </cfRule>
  </conditionalFormatting>
  <conditionalFormatting sqref="I55:N64">
    <cfRule type="cellIs" dxfId="3" priority="1" stopIfTrue="1" operator="equal">
      <formula>"m"</formula>
    </cfRule>
    <cfRule type="cellIs" dxfId="2" priority="2" stopIfTrue="1" operator="notEqual">
      <formula>""</formula>
    </cfRule>
  </conditionalFormatting>
  <conditionalFormatting sqref="K5:N54 C13:I34 J13:J35 C35:H64">
    <cfRule type="cellIs" dxfId="1" priority="13" stopIfTrue="1" operator="equal">
      <formula>"m"</formula>
    </cfRule>
    <cfRule type="cellIs" dxfId="0" priority="14" stopIfTrue="1" operator="notEqual">
      <formula>""</formula>
    </cfRule>
  </conditionalFormatting>
  <pageMargins left="0.78740157480314965" right="0.78740157480314965" top="0.98425196850393704" bottom="0.98425196850393704" header="0.51181102362204722" footer="0.51181102362204722"/>
  <pageSetup paperSize="9" scale="63" fitToHeight="0" orientation="landscape" r:id="rId1"/>
  <headerFooter alignWithMargins="0">
    <oddHeader>&amp;LVertrag Anlage 2 - Integrale Planung</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AB7B-6542-40FD-8D56-DB95A6238652}">
  <sheetPr>
    <pageSetUpPr fitToPage="1"/>
  </sheetPr>
  <dimension ref="A1:L43"/>
  <sheetViews>
    <sheetView zoomScaleNormal="100" workbookViewId="0">
      <selection activeCell="H17" sqref="H17"/>
    </sheetView>
  </sheetViews>
  <sheetFormatPr baseColWidth="10" defaultRowHeight="12.75"/>
  <cols>
    <col min="1" max="1" width="3.7109375" customWidth="1"/>
    <col min="2" max="2" width="37.85546875" customWidth="1"/>
    <col min="3" max="3" width="15.140625" customWidth="1"/>
    <col min="4" max="4" width="4.42578125" customWidth="1"/>
    <col min="5" max="5" width="39.28515625" customWidth="1"/>
    <col min="6" max="6" width="16.140625" customWidth="1"/>
    <col min="7" max="7" width="4" customWidth="1"/>
    <col min="8" max="8" width="42.5703125" customWidth="1"/>
    <col min="9" max="9" width="14.42578125" customWidth="1"/>
    <col min="10" max="10" width="4" customWidth="1"/>
    <col min="11" max="11" width="30.28515625" bestFit="1" customWidth="1"/>
    <col min="12" max="12" width="40.5703125" customWidth="1"/>
  </cols>
  <sheetData>
    <row r="1" spans="1:12">
      <c r="B1" s="65"/>
    </row>
    <row r="2" spans="1:12" ht="14.25">
      <c r="B2" s="66" t="s">
        <v>34</v>
      </c>
    </row>
    <row r="4" spans="1:12" ht="22.15" customHeight="1">
      <c r="A4" s="12"/>
      <c r="B4" s="50" t="s">
        <v>14</v>
      </c>
      <c r="C4" s="45">
        <f>'Integrale Planung'!O86</f>
        <v>550</v>
      </c>
      <c r="D4" s="42"/>
      <c r="E4" s="44" t="s">
        <v>15</v>
      </c>
      <c r="F4" s="45">
        <f>'Integrale Planung'!O87</f>
        <v>1950</v>
      </c>
      <c r="G4" s="43"/>
      <c r="H4" s="44" t="s">
        <v>13</v>
      </c>
      <c r="I4" s="45">
        <f>SUM('Integrale Planung'!O88:O90)</f>
        <v>6770</v>
      </c>
      <c r="K4" s="44" t="s">
        <v>35</v>
      </c>
      <c r="L4" s="45">
        <f>SUM('Integrale Planung'!$O$76:$O$85)</f>
        <v>48000</v>
      </c>
    </row>
    <row r="5" spans="1:12">
      <c r="B5" s="46"/>
      <c r="C5" s="47"/>
      <c r="D5" s="42"/>
      <c r="E5" s="49"/>
      <c r="F5" s="47"/>
      <c r="G5" s="42"/>
      <c r="H5" s="49"/>
      <c r="I5" s="48"/>
      <c r="K5" s="49"/>
      <c r="L5" s="48"/>
    </row>
    <row r="6" spans="1:12" ht="12.75" customHeight="1">
      <c r="B6" s="59" t="s">
        <v>96</v>
      </c>
      <c r="C6" s="60">
        <v>550</v>
      </c>
      <c r="E6" s="59" t="s">
        <v>97</v>
      </c>
      <c r="F6" s="60">
        <v>950</v>
      </c>
      <c r="H6" s="59" t="s">
        <v>99</v>
      </c>
      <c r="I6" s="60">
        <v>4400</v>
      </c>
      <c r="K6" s="57" t="s">
        <v>103</v>
      </c>
      <c r="L6" s="60" t="s">
        <v>104</v>
      </c>
    </row>
    <row r="7" spans="1:12">
      <c r="B7" s="59"/>
      <c r="C7" s="60">
        <v>0</v>
      </c>
      <c r="E7" s="57" t="s">
        <v>98</v>
      </c>
      <c r="F7" s="60">
        <v>1000</v>
      </c>
      <c r="H7" s="57" t="s">
        <v>100</v>
      </c>
      <c r="I7" s="60">
        <v>1000</v>
      </c>
      <c r="K7" s="57" t="s">
        <v>9</v>
      </c>
      <c r="L7" s="60"/>
    </row>
    <row r="8" spans="1:12">
      <c r="B8" s="59"/>
      <c r="C8" s="60">
        <v>0</v>
      </c>
      <c r="E8" s="57"/>
      <c r="F8" s="60">
        <v>0</v>
      </c>
      <c r="H8" s="57" t="s">
        <v>101</v>
      </c>
      <c r="I8" s="60">
        <v>1150</v>
      </c>
      <c r="K8" s="57" t="s">
        <v>10</v>
      </c>
      <c r="L8" s="60"/>
    </row>
    <row r="9" spans="1:12">
      <c r="B9" s="59"/>
      <c r="C9" s="60">
        <v>0</v>
      </c>
      <c r="E9" s="57"/>
      <c r="F9" s="60">
        <v>0</v>
      </c>
      <c r="H9" s="57" t="s">
        <v>102</v>
      </c>
      <c r="I9" s="60">
        <v>220</v>
      </c>
      <c r="K9" s="57" t="s">
        <v>11</v>
      </c>
      <c r="L9" s="60"/>
    </row>
    <row r="10" spans="1:12">
      <c r="B10" s="59"/>
      <c r="C10" s="60">
        <v>0</v>
      </c>
      <c r="E10" s="57"/>
      <c r="F10" s="60">
        <v>0</v>
      </c>
      <c r="H10" s="57"/>
      <c r="I10" s="60"/>
      <c r="K10" s="57" t="s">
        <v>12</v>
      </c>
      <c r="L10" s="60"/>
    </row>
    <row r="11" spans="1:12">
      <c r="B11" s="57"/>
      <c r="C11" s="60">
        <v>0</v>
      </c>
      <c r="E11" s="57"/>
      <c r="F11" s="60">
        <v>0</v>
      </c>
      <c r="H11" s="57"/>
      <c r="I11" s="60"/>
      <c r="K11" s="57" t="s">
        <v>36</v>
      </c>
      <c r="L11" s="60"/>
    </row>
    <row r="12" spans="1:12">
      <c r="B12" s="57"/>
      <c r="C12" s="60">
        <v>0</v>
      </c>
      <c r="E12" s="57"/>
      <c r="F12" s="60">
        <v>0</v>
      </c>
      <c r="H12" s="57"/>
      <c r="I12" s="60"/>
      <c r="K12" s="57" t="s">
        <v>37</v>
      </c>
      <c r="L12" s="60"/>
    </row>
    <row r="13" spans="1:12">
      <c r="B13" s="61" t="s">
        <v>23</v>
      </c>
      <c r="C13" s="60"/>
      <c r="E13" s="61" t="s">
        <v>23</v>
      </c>
      <c r="F13" s="60"/>
      <c r="H13" s="57" t="s">
        <v>23</v>
      </c>
      <c r="I13" s="60"/>
      <c r="K13" s="57" t="s">
        <v>38</v>
      </c>
      <c r="L13" s="60"/>
    </row>
    <row r="14" spans="1:12">
      <c r="B14" s="57"/>
      <c r="C14" s="60"/>
      <c r="E14" s="57"/>
      <c r="F14" s="60"/>
      <c r="H14" s="57"/>
      <c r="I14" s="60"/>
      <c r="K14" s="57" t="s">
        <v>23</v>
      </c>
      <c r="L14" s="60"/>
    </row>
    <row r="15" spans="1:12">
      <c r="B15" s="57"/>
      <c r="C15" s="60"/>
      <c r="E15" s="57"/>
      <c r="F15" s="60"/>
      <c r="H15" s="57"/>
      <c r="I15" s="60"/>
      <c r="K15" s="57"/>
      <c r="L15" s="60"/>
    </row>
    <row r="16" spans="1:12">
      <c r="B16" s="57"/>
      <c r="C16" s="60"/>
      <c r="E16" s="57"/>
      <c r="F16" s="60"/>
      <c r="H16" s="57"/>
      <c r="I16" s="60"/>
      <c r="K16" s="57"/>
      <c r="L16" s="60"/>
    </row>
    <row r="17" spans="2:12">
      <c r="B17" s="57"/>
      <c r="C17" s="60"/>
      <c r="E17" s="57"/>
      <c r="F17" s="60"/>
      <c r="H17" s="57"/>
      <c r="I17" s="60"/>
      <c r="K17" s="57"/>
      <c r="L17" s="60"/>
    </row>
    <row r="18" spans="2:12">
      <c r="B18" s="57"/>
      <c r="C18" s="60"/>
      <c r="E18" s="57"/>
      <c r="F18" s="60"/>
      <c r="H18" s="57"/>
      <c r="I18" s="60"/>
      <c r="K18" s="57"/>
      <c r="L18" s="60"/>
    </row>
    <row r="19" spans="2:12">
      <c r="B19" s="57"/>
      <c r="C19" s="60"/>
      <c r="E19" s="57"/>
      <c r="F19" s="60"/>
      <c r="H19" s="57"/>
      <c r="I19" s="60"/>
      <c r="K19" s="57"/>
      <c r="L19" s="60"/>
    </row>
    <row r="20" spans="2:12">
      <c r="B20" s="57"/>
      <c r="C20" s="60"/>
      <c r="E20" s="57"/>
      <c r="F20" s="60"/>
      <c r="H20" s="57"/>
      <c r="I20" s="60"/>
      <c r="K20" s="57"/>
      <c r="L20" s="60"/>
    </row>
    <row r="21" spans="2:12">
      <c r="B21" s="57"/>
      <c r="C21" s="60"/>
      <c r="E21" s="57"/>
      <c r="F21" s="60"/>
      <c r="H21" s="57"/>
      <c r="I21" s="60"/>
      <c r="K21" s="57"/>
      <c r="L21" s="60"/>
    </row>
    <row r="22" spans="2:12">
      <c r="B22" s="46"/>
      <c r="C22" s="47"/>
      <c r="E22" s="46"/>
      <c r="F22" s="47"/>
      <c r="H22" s="46"/>
      <c r="I22" s="47"/>
      <c r="K22" s="46"/>
      <c r="L22" s="47"/>
    </row>
    <row r="23" spans="2:12">
      <c r="B23" s="62" t="s">
        <v>24</v>
      </c>
      <c r="C23" s="63">
        <f>SUM(C6:C21)</f>
        <v>550</v>
      </c>
      <c r="E23" s="64" t="s">
        <v>24</v>
      </c>
      <c r="F23" s="63">
        <f>SUM(F6:F21)</f>
        <v>1950</v>
      </c>
      <c r="H23" s="64" t="s">
        <v>24</v>
      </c>
      <c r="I23" s="63">
        <f>SUM(I6:I21)</f>
        <v>6770</v>
      </c>
      <c r="K23" s="64"/>
      <c r="L23" s="63"/>
    </row>
    <row r="25" spans="2:12">
      <c r="B25" s="110" t="s">
        <v>31</v>
      </c>
      <c r="C25" s="111"/>
      <c r="E25" s="110" t="s">
        <v>32</v>
      </c>
      <c r="F25" s="116"/>
      <c r="H25" s="110" t="s">
        <v>52</v>
      </c>
      <c r="I25" s="111"/>
      <c r="K25" s="110" t="s">
        <v>40</v>
      </c>
      <c r="L25" s="111"/>
    </row>
    <row r="26" spans="2:12">
      <c r="B26" s="112"/>
      <c r="C26" s="113"/>
      <c r="E26" s="117"/>
      <c r="F26" s="118"/>
      <c r="H26" s="112"/>
      <c r="I26" s="113"/>
      <c r="K26" s="112"/>
      <c r="L26" s="113"/>
    </row>
    <row r="27" spans="2:12">
      <c r="B27" s="112"/>
      <c r="C27" s="113"/>
      <c r="E27" s="117"/>
      <c r="F27" s="118"/>
      <c r="H27" s="112"/>
      <c r="I27" s="113"/>
      <c r="K27" s="112"/>
      <c r="L27" s="113"/>
    </row>
    <row r="28" spans="2:12">
      <c r="B28" s="112"/>
      <c r="C28" s="113"/>
      <c r="E28" s="117"/>
      <c r="F28" s="118"/>
      <c r="H28" s="112"/>
      <c r="I28" s="113"/>
      <c r="K28" s="112"/>
      <c r="L28" s="113"/>
    </row>
    <row r="29" spans="2:12">
      <c r="B29" s="112"/>
      <c r="C29" s="113"/>
      <c r="E29" s="117"/>
      <c r="F29" s="118"/>
      <c r="H29" s="112"/>
      <c r="I29" s="113"/>
      <c r="K29" s="112"/>
      <c r="L29" s="113"/>
    </row>
    <row r="30" spans="2:12">
      <c r="B30" s="112"/>
      <c r="C30" s="113"/>
      <c r="E30" s="117"/>
      <c r="F30" s="118"/>
      <c r="H30" s="112"/>
      <c r="I30" s="113"/>
      <c r="K30" s="112"/>
      <c r="L30" s="113"/>
    </row>
    <row r="31" spans="2:12">
      <c r="B31" s="112"/>
      <c r="C31" s="113"/>
      <c r="E31" s="117"/>
      <c r="F31" s="118"/>
      <c r="H31" s="112"/>
      <c r="I31" s="113"/>
      <c r="K31" s="112"/>
      <c r="L31" s="113"/>
    </row>
    <row r="32" spans="2:12">
      <c r="B32" s="112"/>
      <c r="C32" s="113"/>
      <c r="E32" s="117"/>
      <c r="F32" s="118"/>
      <c r="H32" s="112"/>
      <c r="I32" s="113"/>
      <c r="K32" s="112"/>
      <c r="L32" s="113"/>
    </row>
    <row r="33" spans="2:12">
      <c r="B33" s="112"/>
      <c r="C33" s="113"/>
      <c r="E33" s="117"/>
      <c r="F33" s="118"/>
      <c r="H33" s="112"/>
      <c r="I33" s="113"/>
      <c r="K33" s="112"/>
      <c r="L33" s="113"/>
    </row>
    <row r="34" spans="2:12">
      <c r="B34" s="114"/>
      <c r="C34" s="115"/>
      <c r="E34" s="119"/>
      <c r="F34" s="120"/>
      <c r="H34" s="114"/>
      <c r="I34" s="115"/>
      <c r="K34" s="114"/>
      <c r="L34" s="115"/>
    </row>
    <row r="36" spans="2:12">
      <c r="B36" s="110" t="s">
        <v>33</v>
      </c>
      <c r="C36" s="116"/>
    </row>
    <row r="37" spans="2:12">
      <c r="B37" s="117"/>
      <c r="C37" s="118"/>
    </row>
    <row r="38" spans="2:12">
      <c r="B38" s="117"/>
      <c r="C38" s="118"/>
    </row>
    <row r="39" spans="2:12">
      <c r="B39" s="117"/>
      <c r="C39" s="118"/>
    </row>
    <row r="40" spans="2:12">
      <c r="B40" s="117"/>
      <c r="C40" s="118"/>
    </row>
    <row r="41" spans="2:12">
      <c r="B41" s="117"/>
      <c r="C41" s="118"/>
    </row>
    <row r="42" spans="2:12">
      <c r="B42" s="117"/>
      <c r="C42" s="118"/>
    </row>
    <row r="43" spans="2:12">
      <c r="B43" s="119"/>
      <c r="C43" s="120"/>
    </row>
  </sheetData>
  <mergeCells count="5">
    <mergeCell ref="B25:C34"/>
    <mergeCell ref="E25:F34"/>
    <mergeCell ref="H25:I34"/>
    <mergeCell ref="B36:C43"/>
    <mergeCell ref="K25:L34"/>
  </mergeCells>
  <phoneticPr fontId="1" type="noConversion"/>
  <pageMargins left="0.7" right="0.7" top="0.78740157499999996" bottom="0.78740157499999996" header="0.3" footer="0.3"/>
  <pageSetup paperSize="9" scale="53" orientation="landscape" r:id="rId1"/>
  <headerFooter>
    <oddHeader>&amp;LVertrag Anlage 2 - Integrale Planung</oddHeader>
  </headerFooter>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Integrale Planung</vt:lpstr>
      <vt:lpstr>Kostenerfassung</vt:lpstr>
      <vt:lpstr>'Integrale Planung'!Druckbereich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2020-03-23T09:20:00Z</dcterms:created>
  <dcterms:modified xsi:type="dcterms:W3CDTF">2026-03-16T13:06:01Z</dcterms:modified>
</cp:coreProperties>
</file>