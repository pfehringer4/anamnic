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fabia\OneDrive\Desktop\ANAMNIC\i2b\"/>
    </mc:Choice>
  </mc:AlternateContent>
  <xr:revisionPtr revIDLastSave="0" documentId="13_ncr:1_{9A68658B-F547-4FA0-B496-EB04EB145250}" xr6:coauthVersionLast="47" xr6:coauthVersionMax="47" xr10:uidLastSave="{00000000-0000-0000-0000-000000000000}"/>
  <bookViews>
    <workbookView xWindow="-28920" yWindow="2730" windowWidth="29040" windowHeight="15720" tabRatio="647" activeTab="2" xr2:uid="{00000000-000D-0000-FFFF-FFFF00000000}"/>
  </bookViews>
  <sheets>
    <sheet name="Basisdaten" sheetId="6" r:id="rId1"/>
    <sheet name="Absatzplan" sheetId="8" r:id="rId2"/>
    <sheet name="Plan-G&amp;V" sheetId="3" r:id="rId3"/>
    <sheet name="Investitionsplan" sheetId="1" r:id="rId4"/>
    <sheet name="Finanzplan" sheetId="4" r:id="rId5"/>
    <sheet name="AP" sheetId="9" r:id="rId6"/>
    <sheet name="P-GV" sheetId="10" r:id="rId7"/>
    <sheet name="IP" sheetId="11" r:id="rId8"/>
    <sheet name="FP" sheetId="12" r:id="rId9"/>
  </sheets>
  <definedNames>
    <definedName name="_xlnm.Print_Area" localSheetId="1">Absatzplan!$A$1:$T$90</definedName>
    <definedName name="_xlnm.Print_Area" localSheetId="4">Finanzplan!$A$1:$T$38</definedName>
    <definedName name="_xlnm.Print_Area" localSheetId="2">'Plan-G&amp;V'!$A$1:$T$49</definedName>
    <definedName name="FÜ">GET.CELL(48,!A1)+0*NOW()</definedName>
    <definedName name="Leer">!A1=""</definedName>
    <definedName name="USt">GET.CELL(48,Basisdaten!$C$12)+0*NOW()</definedName>
    <definedName name="WES">GET.CELL(48,!$B1)+0*NOW()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33" i="3" l="1"/>
  <c r="O33" i="3" s="1"/>
  <c r="P33" i="3" s="1"/>
  <c r="C18" i="8"/>
  <c r="C17" i="8"/>
  <c r="C16" i="8"/>
  <c r="C15" i="8"/>
  <c r="C14" i="8"/>
  <c r="C13" i="8"/>
  <c r="C12" i="8"/>
  <c r="C11" i="8"/>
  <c r="C10" i="8"/>
  <c r="C9" i="8"/>
  <c r="C18" i="1"/>
  <c r="C17" i="1"/>
  <c r="C16" i="1"/>
  <c r="C15" i="1"/>
  <c r="C14" i="1"/>
  <c r="C13" i="1"/>
  <c r="E68" i="8"/>
  <c r="R17" i="3" l="1"/>
  <c r="R11" i="3" l="1"/>
  <c r="D37" i="4"/>
  <c r="D34" i="4"/>
  <c r="D33" i="4"/>
  <c r="D32" i="4"/>
  <c r="D27" i="4"/>
  <c r="D26" i="4"/>
  <c r="D17" i="4"/>
  <c r="S17" i="3"/>
  <c r="T17" i="3" s="1"/>
  <c r="D46" i="3" l="1"/>
  <c r="Q22" i="3" l="1"/>
  <c r="S22" i="3" s="1"/>
  <c r="T22" i="3" s="1"/>
  <c r="S20" i="3"/>
  <c r="T20" i="3" s="1"/>
  <c r="S19" i="3"/>
  <c r="T19" i="3" s="1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0" i="3"/>
  <c r="D19" i="3"/>
  <c r="D18" i="3"/>
  <c r="D17" i="3"/>
  <c r="D16" i="3"/>
  <c r="R15" i="3"/>
  <c r="Q15" i="3"/>
  <c r="S15" i="3" s="1"/>
  <c r="D15" i="3"/>
  <c r="D7" i="3"/>
  <c r="Q79" i="8"/>
  <c r="D77" i="8"/>
  <c r="D76" i="8"/>
  <c r="D75" i="8"/>
  <c r="D74" i="8"/>
  <c r="D73" i="8"/>
  <c r="D72" i="8"/>
  <c r="D71" i="8"/>
  <c r="D70" i="8"/>
  <c r="D69" i="8"/>
  <c r="D68" i="8"/>
  <c r="Q55" i="8"/>
  <c r="Q43" i="8"/>
  <c r="Q31" i="8"/>
  <c r="T19" i="8"/>
  <c r="S19" i="8"/>
  <c r="R19" i="8"/>
  <c r="Q19" i="8"/>
  <c r="D29" i="8"/>
  <c r="D28" i="8"/>
  <c r="D27" i="8"/>
  <c r="D26" i="8"/>
  <c r="D25" i="8"/>
  <c r="D24" i="8"/>
  <c r="D23" i="8"/>
  <c r="D22" i="8"/>
  <c r="D21" i="8"/>
  <c r="D20" i="8"/>
  <c r="T8" i="8"/>
  <c r="S8" i="8"/>
  <c r="R8" i="8"/>
  <c r="D18" i="8"/>
  <c r="D17" i="8"/>
  <c r="D16" i="8"/>
  <c r="D15" i="8"/>
  <c r="D14" i="8"/>
  <c r="D13" i="8"/>
  <c r="D12" i="8"/>
  <c r="D11" i="8"/>
  <c r="D10" i="8"/>
  <c r="D9" i="8"/>
  <c r="T15" i="3" l="1"/>
  <c r="Q50" i="3" l="1"/>
  <c r="E29" i="8"/>
  <c r="E28" i="8"/>
  <c r="E27" i="8"/>
  <c r="E26" i="8"/>
  <c r="E25" i="8"/>
  <c r="E24" i="8"/>
  <c r="Q25" i="4" l="1"/>
  <c r="D25" i="4" s="1"/>
  <c r="L27" i="4" l="1"/>
  <c r="M27" i="4" s="1"/>
  <c r="N27" i="4" s="1"/>
  <c r="O27" i="4" s="1"/>
  <c r="P27" i="4" s="1"/>
  <c r="Q27" i="4" l="1"/>
  <c r="L26" i="4" l="1"/>
  <c r="Q26" i="4"/>
  <c r="E38" i="3"/>
  <c r="F38" i="3" l="1"/>
  <c r="L28" i="4"/>
  <c r="M28" i="4" s="1"/>
  <c r="N28" i="4" s="1"/>
  <c r="O28" i="4" s="1"/>
  <c r="P28" i="4" s="1"/>
  <c r="A87" i="8"/>
  <c r="A86" i="8"/>
  <c r="A85" i="8"/>
  <c r="A84" i="8"/>
  <c r="A83" i="8"/>
  <c r="A82" i="8"/>
  <c r="C75" i="8"/>
  <c r="A75" i="8"/>
  <c r="C74" i="8"/>
  <c r="A74" i="8"/>
  <c r="C73" i="8"/>
  <c r="A73" i="8"/>
  <c r="C72" i="8"/>
  <c r="A72" i="8"/>
  <c r="C71" i="8"/>
  <c r="A71" i="8"/>
  <c r="C70" i="8"/>
  <c r="A70" i="8"/>
  <c r="A63" i="8"/>
  <c r="A62" i="8"/>
  <c r="A61" i="8"/>
  <c r="A60" i="8"/>
  <c r="A59" i="8"/>
  <c r="A58" i="8"/>
  <c r="C51" i="8"/>
  <c r="A51" i="8"/>
  <c r="C50" i="8"/>
  <c r="A50" i="8"/>
  <c r="C49" i="8"/>
  <c r="A49" i="8"/>
  <c r="C48" i="8"/>
  <c r="A48" i="8"/>
  <c r="C47" i="8"/>
  <c r="A47" i="8"/>
  <c r="C46" i="8"/>
  <c r="A46" i="8"/>
  <c r="A39" i="8"/>
  <c r="A38" i="8"/>
  <c r="A37" i="8"/>
  <c r="A36" i="8"/>
  <c r="A35" i="8"/>
  <c r="A34" i="8"/>
  <c r="E39" i="8"/>
  <c r="A27" i="8"/>
  <c r="E38" i="8"/>
  <c r="A26" i="8"/>
  <c r="E37" i="8"/>
  <c r="A25" i="8"/>
  <c r="E36" i="8"/>
  <c r="A24" i="8"/>
  <c r="E35" i="8"/>
  <c r="A23" i="8"/>
  <c r="E34" i="8"/>
  <c r="A22" i="8"/>
  <c r="F16" i="8"/>
  <c r="F15" i="8"/>
  <c r="F14" i="8"/>
  <c r="F13" i="8"/>
  <c r="E73" i="8"/>
  <c r="E75" i="8"/>
  <c r="E74" i="8"/>
  <c r="E72" i="8"/>
  <c r="G16" i="8" l="1"/>
  <c r="G15" i="8"/>
  <c r="F25" i="8"/>
  <c r="H12" i="8"/>
  <c r="J12" i="8" s="1"/>
  <c r="K12" i="8" s="1"/>
  <c r="L12" i="8" s="1"/>
  <c r="M12" i="8" s="1"/>
  <c r="N12" i="8" s="1"/>
  <c r="O12" i="8" s="1"/>
  <c r="P12" i="8" s="1"/>
  <c r="H11" i="8"/>
  <c r="J11" i="8" s="1"/>
  <c r="K11" i="8" s="1"/>
  <c r="L11" i="8" s="1"/>
  <c r="M11" i="8" s="1"/>
  <c r="N11" i="8" s="1"/>
  <c r="O11" i="8" s="1"/>
  <c r="P11" i="8" s="1"/>
  <c r="Q28" i="4"/>
  <c r="F34" i="8"/>
  <c r="F46" i="8" s="1"/>
  <c r="G14" i="8"/>
  <c r="H14" i="8" s="1"/>
  <c r="F27" i="8"/>
  <c r="F39" i="8" s="1"/>
  <c r="F51" i="8" s="1"/>
  <c r="F24" i="8"/>
  <c r="F36" i="8" s="1"/>
  <c r="F26" i="8"/>
  <c r="F38" i="8" s="1"/>
  <c r="F50" i="8" s="1"/>
  <c r="F35" i="8"/>
  <c r="F37" i="8"/>
  <c r="F49" i="8" s="1"/>
  <c r="E48" i="8"/>
  <c r="E51" i="8"/>
  <c r="E47" i="8"/>
  <c r="E46" i="8"/>
  <c r="E50" i="8"/>
  <c r="E49" i="8"/>
  <c r="H15" i="8"/>
  <c r="H16" i="8"/>
  <c r="G13" i="8"/>
  <c r="F17" i="4"/>
  <c r="E33" i="8"/>
  <c r="E40" i="8"/>
  <c r="E41" i="8"/>
  <c r="E16" i="4"/>
  <c r="F11" i="3"/>
  <c r="F16" i="4" s="1"/>
  <c r="A17" i="4"/>
  <c r="A2" i="12"/>
  <c r="A2" i="11"/>
  <c r="A2" i="10"/>
  <c r="A2" i="9"/>
  <c r="A5" i="4"/>
  <c r="A7" i="4"/>
  <c r="A3" i="12" s="1"/>
  <c r="A11" i="4"/>
  <c r="A12" i="4"/>
  <c r="A13" i="4"/>
  <c r="R14" i="4"/>
  <c r="S14" i="4"/>
  <c r="T14" i="4"/>
  <c r="L32" i="4"/>
  <c r="M32" i="4" s="1"/>
  <c r="N32" i="4" s="1"/>
  <c r="O32" i="4" s="1"/>
  <c r="P32" i="4" s="1"/>
  <c r="L34" i="4"/>
  <c r="M34" i="4" s="1"/>
  <c r="N34" i="4" s="1"/>
  <c r="O34" i="4" s="1"/>
  <c r="P34" i="4" s="1"/>
  <c r="Q37" i="4"/>
  <c r="A7" i="1"/>
  <c r="A9" i="1"/>
  <c r="A3" i="11" s="1"/>
  <c r="P13" i="1"/>
  <c r="Q13" i="1"/>
  <c r="P14" i="1"/>
  <c r="Q14" i="1"/>
  <c r="R34" i="1" s="1"/>
  <c r="P15" i="1"/>
  <c r="Q15" i="1"/>
  <c r="P16" i="1"/>
  <c r="Q16" i="1"/>
  <c r="P17" i="1"/>
  <c r="Q17" i="1"/>
  <c r="R37" i="1" s="1"/>
  <c r="P18" i="1"/>
  <c r="Q18" i="1"/>
  <c r="V38" i="1" s="1"/>
  <c r="P19" i="1"/>
  <c r="Q19" i="1"/>
  <c r="P20" i="1"/>
  <c r="Q20" i="1"/>
  <c r="P21" i="1"/>
  <c r="Q21" i="1"/>
  <c r="P22" i="1"/>
  <c r="Q22" i="1"/>
  <c r="D23" i="1"/>
  <c r="E23" i="1"/>
  <c r="F23" i="1"/>
  <c r="G23" i="1"/>
  <c r="H23" i="1"/>
  <c r="I23" i="1"/>
  <c r="J23" i="1"/>
  <c r="K23" i="1"/>
  <c r="L23" i="1"/>
  <c r="M23" i="1"/>
  <c r="N23" i="1"/>
  <c r="O23" i="1"/>
  <c r="R23" i="1"/>
  <c r="T23" i="1"/>
  <c r="V23" i="1"/>
  <c r="A33" i="1"/>
  <c r="C33" i="1"/>
  <c r="R33" i="1"/>
  <c r="T33" i="1"/>
  <c r="V33" i="1"/>
  <c r="A34" i="1"/>
  <c r="C34" i="1"/>
  <c r="T34" i="1"/>
  <c r="A35" i="1"/>
  <c r="C35" i="1"/>
  <c r="A36" i="1"/>
  <c r="C36" i="1"/>
  <c r="R36" i="1"/>
  <c r="T36" i="1"/>
  <c r="V36" i="1"/>
  <c r="A37" i="1"/>
  <c r="C37" i="1"/>
  <c r="A38" i="1"/>
  <c r="C38" i="1"/>
  <c r="A39" i="1"/>
  <c r="C39" i="1"/>
  <c r="R39" i="1"/>
  <c r="T39" i="1"/>
  <c r="V39" i="1"/>
  <c r="A40" i="1"/>
  <c r="C40" i="1"/>
  <c r="R40" i="1"/>
  <c r="T40" i="1"/>
  <c r="V40" i="1"/>
  <c r="A41" i="1"/>
  <c r="C41" i="1"/>
  <c r="R41" i="1"/>
  <c r="T41" i="1"/>
  <c r="V41" i="1"/>
  <c r="A42" i="1"/>
  <c r="C42" i="1"/>
  <c r="R42" i="1"/>
  <c r="T42" i="1"/>
  <c r="V42" i="1"/>
  <c r="A2" i="3"/>
  <c r="A4" i="3"/>
  <c r="A3" i="10" s="1"/>
  <c r="A11" i="3"/>
  <c r="L25" i="3"/>
  <c r="Q27" i="3"/>
  <c r="R27" i="3" s="1"/>
  <c r="S27" i="3" s="1"/>
  <c r="T27" i="3" s="1"/>
  <c r="Q33" i="3"/>
  <c r="S33" i="3" s="1"/>
  <c r="T33" i="3" s="1"/>
  <c r="Q34" i="3"/>
  <c r="S34" i="3" s="1"/>
  <c r="T34" i="3" s="1"/>
  <c r="A2" i="8"/>
  <c r="A4" i="8"/>
  <c r="A3" i="9" s="1"/>
  <c r="E7" i="8"/>
  <c r="E7" i="3" s="1"/>
  <c r="F7" i="8"/>
  <c r="F7" i="3" s="1"/>
  <c r="G7" i="8"/>
  <c r="G7" i="3" s="1"/>
  <c r="H7" i="8"/>
  <c r="H7" i="3" s="1"/>
  <c r="I7" i="8"/>
  <c r="I7" i="3" s="1"/>
  <c r="J7" i="8"/>
  <c r="J7" i="3" s="1"/>
  <c r="K7" i="8"/>
  <c r="K7" i="3" s="1"/>
  <c r="L7" i="8"/>
  <c r="L7" i="3" s="1"/>
  <c r="M7" i="8"/>
  <c r="M7" i="3" s="1"/>
  <c r="N7" i="8"/>
  <c r="N7" i="3" s="1"/>
  <c r="O7" i="8"/>
  <c r="O7" i="3" s="1"/>
  <c r="P7" i="8"/>
  <c r="P7" i="3" s="1"/>
  <c r="Q7" i="8"/>
  <c r="Q7" i="3" s="1"/>
  <c r="Q10" i="4" s="1"/>
  <c r="R7" i="8"/>
  <c r="R7" i="3" s="1"/>
  <c r="S7" i="8"/>
  <c r="S7" i="3" s="1"/>
  <c r="T12" i="1" s="1"/>
  <c r="T27" i="1" s="1"/>
  <c r="T7" i="8"/>
  <c r="T7" i="3" s="1"/>
  <c r="F9" i="8"/>
  <c r="F17" i="8"/>
  <c r="F18" i="8"/>
  <c r="A20" i="8"/>
  <c r="E20" i="8"/>
  <c r="E32" i="8" s="1"/>
  <c r="A21" i="8"/>
  <c r="A28" i="8"/>
  <c r="A29" i="8"/>
  <c r="A30" i="8"/>
  <c r="A31" i="8"/>
  <c r="A42" i="8" s="1"/>
  <c r="A32" i="8"/>
  <c r="A33" i="8"/>
  <c r="A40" i="8"/>
  <c r="A41" i="8"/>
  <c r="A43" i="8"/>
  <c r="A54" i="8" s="1"/>
  <c r="A44" i="8"/>
  <c r="C44" i="8"/>
  <c r="A45" i="8"/>
  <c r="C45" i="8"/>
  <c r="A52" i="8"/>
  <c r="C52" i="8"/>
  <c r="A53" i="8"/>
  <c r="C53" i="8"/>
  <c r="A55" i="8"/>
  <c r="A66" i="8" s="1"/>
  <c r="A56" i="8"/>
  <c r="A57" i="8"/>
  <c r="A64" i="8"/>
  <c r="A65" i="8"/>
  <c r="A68" i="8"/>
  <c r="C68" i="8"/>
  <c r="A69" i="8"/>
  <c r="C69" i="8"/>
  <c r="A76" i="8"/>
  <c r="C76" i="8"/>
  <c r="A77" i="8"/>
  <c r="C77" i="8"/>
  <c r="A79" i="8"/>
  <c r="A80" i="8"/>
  <c r="A81" i="8"/>
  <c r="A88" i="8"/>
  <c r="A89" i="8"/>
  <c r="E7" i="6"/>
  <c r="E76" i="8"/>
  <c r="E77" i="8"/>
  <c r="R28" i="4" l="1"/>
  <c r="S28" i="4" s="1"/>
  <c r="T28" i="4" s="1"/>
  <c r="M25" i="3"/>
  <c r="N25" i="3" s="1"/>
  <c r="O25" i="3" s="1"/>
  <c r="P25" i="3" s="1"/>
  <c r="R25" i="3"/>
  <c r="S25" i="3" s="1"/>
  <c r="T25" i="3" s="1"/>
  <c r="P17" i="3"/>
  <c r="O17" i="3"/>
  <c r="N17" i="3"/>
  <c r="M17" i="3"/>
  <c r="L17" i="3"/>
  <c r="K17" i="3"/>
  <c r="J17" i="3"/>
  <c r="I17" i="3"/>
  <c r="H17" i="3"/>
  <c r="G17" i="3"/>
  <c r="F17" i="3"/>
  <c r="E17" i="3"/>
  <c r="D14" i="4"/>
  <c r="Q12" i="8"/>
  <c r="S12" i="8" s="1"/>
  <c r="T12" i="8" s="1"/>
  <c r="Q11" i="8"/>
  <c r="S11" i="8" s="1"/>
  <c r="T11" i="8" s="1"/>
  <c r="M30" i="3"/>
  <c r="N30" i="3" s="1"/>
  <c r="O30" i="3" s="1"/>
  <c r="P30" i="3" s="1"/>
  <c r="S30" i="3"/>
  <c r="T30" i="3" s="1"/>
  <c r="L19" i="3"/>
  <c r="L20" i="3"/>
  <c r="L18" i="3"/>
  <c r="I18" i="3"/>
  <c r="I19" i="3"/>
  <c r="I20" i="3"/>
  <c r="O20" i="3"/>
  <c r="O18" i="3"/>
  <c r="O19" i="3"/>
  <c r="L12" i="1"/>
  <c r="L27" i="1" s="1"/>
  <c r="M19" i="3"/>
  <c r="M20" i="3"/>
  <c r="M18" i="3"/>
  <c r="K18" i="3"/>
  <c r="K19" i="3"/>
  <c r="K20" i="3"/>
  <c r="J19" i="3"/>
  <c r="J18" i="3"/>
  <c r="J20" i="3"/>
  <c r="G12" i="1"/>
  <c r="G27" i="1" s="1"/>
  <c r="H18" i="3"/>
  <c r="H19" i="3"/>
  <c r="H20" i="3"/>
  <c r="F12" i="1"/>
  <c r="F27" i="1" s="1"/>
  <c r="G19" i="3"/>
  <c r="G18" i="3"/>
  <c r="G20" i="3"/>
  <c r="F10" i="4"/>
  <c r="F18" i="3"/>
  <c r="F19" i="3"/>
  <c r="F20" i="3"/>
  <c r="E18" i="3"/>
  <c r="E19" i="3"/>
  <c r="E20" i="3"/>
  <c r="O12" i="1"/>
  <c r="O27" i="1" s="1"/>
  <c r="P20" i="3"/>
  <c r="P18" i="3"/>
  <c r="P19" i="3"/>
  <c r="N19" i="3"/>
  <c r="N20" i="3"/>
  <c r="N18" i="3"/>
  <c r="G17" i="8"/>
  <c r="H10" i="8"/>
  <c r="H29" i="1"/>
  <c r="G17" i="4"/>
  <c r="J32" i="1"/>
  <c r="G30" i="1"/>
  <c r="F20" i="8"/>
  <c r="F32" i="8" s="1"/>
  <c r="F44" i="8" s="1"/>
  <c r="G11" i="3"/>
  <c r="G16" i="4" s="1"/>
  <c r="H35" i="8"/>
  <c r="H47" i="8" s="1"/>
  <c r="G26" i="8"/>
  <c r="G38" i="8" s="1"/>
  <c r="G35" i="8"/>
  <c r="G47" i="8" s="1"/>
  <c r="F29" i="8"/>
  <c r="F41" i="8" s="1"/>
  <c r="F53" i="8" s="1"/>
  <c r="G27" i="8"/>
  <c r="H27" i="8" s="1"/>
  <c r="Q32" i="4"/>
  <c r="R32" i="4" s="1"/>
  <c r="S32" i="4" s="1"/>
  <c r="T32" i="4" s="1"/>
  <c r="G38" i="3"/>
  <c r="F28" i="8"/>
  <c r="F40" i="8" s="1"/>
  <c r="F52" i="8" s="1"/>
  <c r="E52" i="8"/>
  <c r="E45" i="8"/>
  <c r="G25" i="8"/>
  <c r="G37" i="8" s="1"/>
  <c r="G49" i="8" s="1"/>
  <c r="G9" i="8"/>
  <c r="H9" i="8" s="1"/>
  <c r="I9" i="8" s="1"/>
  <c r="E30" i="8"/>
  <c r="F48" i="8"/>
  <c r="F47" i="8"/>
  <c r="F33" i="8"/>
  <c r="F45" i="8" s="1"/>
  <c r="G18" i="8"/>
  <c r="H18" i="8" s="1"/>
  <c r="I18" i="8" s="1"/>
  <c r="J18" i="8" s="1"/>
  <c r="I14" i="8"/>
  <c r="H13" i="8"/>
  <c r="G24" i="8"/>
  <c r="I16" i="8"/>
  <c r="I15" i="8"/>
  <c r="H26" i="8"/>
  <c r="M31" i="1"/>
  <c r="H31" i="1"/>
  <c r="N29" i="1"/>
  <c r="L32" i="1"/>
  <c r="O31" i="1"/>
  <c r="N30" i="1"/>
  <c r="O50" i="3"/>
  <c r="I32" i="1"/>
  <c r="D39" i="1"/>
  <c r="E39" i="1" s="1"/>
  <c r="F39" i="1" s="1"/>
  <c r="G39" i="1" s="1"/>
  <c r="H39" i="1" s="1"/>
  <c r="I39" i="1" s="1"/>
  <c r="J39" i="1" s="1"/>
  <c r="K39" i="1" s="1"/>
  <c r="L39" i="1" s="1"/>
  <c r="M39" i="1" s="1"/>
  <c r="N39" i="1" s="1"/>
  <c r="O39" i="1" s="1"/>
  <c r="J30" i="1"/>
  <c r="D34" i="1"/>
  <c r="E34" i="1" s="1"/>
  <c r="F34" i="1" s="1"/>
  <c r="G34" i="1" s="1"/>
  <c r="H34" i="1" s="1"/>
  <c r="I34" i="1" s="1"/>
  <c r="J34" i="1" s="1"/>
  <c r="K34" i="1" s="1"/>
  <c r="L34" i="1" s="1"/>
  <c r="M34" i="1" s="1"/>
  <c r="N34" i="1" s="1"/>
  <c r="O34" i="1" s="1"/>
  <c r="I28" i="1"/>
  <c r="L50" i="3"/>
  <c r="K29" i="1"/>
  <c r="K32" i="1"/>
  <c r="L31" i="1"/>
  <c r="O29" i="1"/>
  <c r="D38" i="1"/>
  <c r="E38" i="1" s="1"/>
  <c r="F38" i="1" s="1"/>
  <c r="G38" i="1" s="1"/>
  <c r="H38" i="1" s="1"/>
  <c r="I38" i="1" s="1"/>
  <c r="J38" i="1" s="1"/>
  <c r="K38" i="1" s="1"/>
  <c r="L38" i="1" s="1"/>
  <c r="M38" i="1" s="1"/>
  <c r="N38" i="1" s="1"/>
  <c r="O38" i="1" s="1"/>
  <c r="H30" i="1"/>
  <c r="E29" i="1"/>
  <c r="M32" i="1"/>
  <c r="L29" i="1"/>
  <c r="D41" i="1"/>
  <c r="E41" i="1" s="1"/>
  <c r="F41" i="1" s="1"/>
  <c r="G41" i="1" s="1"/>
  <c r="H41" i="1" s="1"/>
  <c r="I41" i="1" s="1"/>
  <c r="J41" i="1" s="1"/>
  <c r="K41" i="1" s="1"/>
  <c r="L41" i="1" s="1"/>
  <c r="M41" i="1" s="1"/>
  <c r="N41" i="1" s="1"/>
  <c r="O41" i="1" s="1"/>
  <c r="E32" i="1"/>
  <c r="I31" i="1"/>
  <c r="H28" i="1"/>
  <c r="D28" i="1"/>
  <c r="M29" i="1"/>
  <c r="D33" i="1"/>
  <c r="E33" i="1" s="1"/>
  <c r="F33" i="1" s="1"/>
  <c r="G33" i="1" s="1"/>
  <c r="H33" i="1" s="1"/>
  <c r="I33" i="1" s="1"/>
  <c r="J33" i="1" s="1"/>
  <c r="K33" i="1" s="1"/>
  <c r="L33" i="1" s="1"/>
  <c r="M33" i="1" s="1"/>
  <c r="N33" i="1" s="1"/>
  <c r="O33" i="1" s="1"/>
  <c r="O28" i="1"/>
  <c r="K31" i="1"/>
  <c r="H32" i="1"/>
  <c r="F29" i="1"/>
  <c r="I30" i="1"/>
  <c r="D37" i="1"/>
  <c r="E37" i="1" s="1"/>
  <c r="F37" i="1" s="1"/>
  <c r="G37" i="1" s="1"/>
  <c r="H37" i="1" s="1"/>
  <c r="I37" i="1" s="1"/>
  <c r="J37" i="1" s="1"/>
  <c r="K37" i="1" s="1"/>
  <c r="L37" i="1" s="1"/>
  <c r="M37" i="1" s="1"/>
  <c r="N37" i="1" s="1"/>
  <c r="O37" i="1" s="1"/>
  <c r="D30" i="1"/>
  <c r="M30" i="1"/>
  <c r="D32" i="1"/>
  <c r="F50" i="3"/>
  <c r="J29" i="1"/>
  <c r="D40" i="1"/>
  <c r="E40" i="1" s="1"/>
  <c r="F40" i="1" s="1"/>
  <c r="G40" i="1" s="1"/>
  <c r="H40" i="1" s="1"/>
  <c r="I40" i="1" s="1"/>
  <c r="J40" i="1" s="1"/>
  <c r="K40" i="1" s="1"/>
  <c r="L40" i="1" s="1"/>
  <c r="M40" i="1" s="1"/>
  <c r="N40" i="1" s="1"/>
  <c r="O40" i="1" s="1"/>
  <c r="F31" i="1"/>
  <c r="K28" i="1"/>
  <c r="O32" i="1"/>
  <c r="D31" i="1"/>
  <c r="E28" i="1"/>
  <c r="N31" i="1"/>
  <c r="J28" i="1"/>
  <c r="P12" i="1"/>
  <c r="P27" i="1" s="1"/>
  <c r="E12" i="1"/>
  <c r="E27" i="1" s="1"/>
  <c r="M10" i="4"/>
  <c r="N12" i="1"/>
  <c r="N27" i="1" s="1"/>
  <c r="O10" i="4"/>
  <c r="L10" i="4"/>
  <c r="K12" i="1"/>
  <c r="K27" i="1" s="1"/>
  <c r="G10" i="4"/>
  <c r="L30" i="1"/>
  <c r="I50" i="3"/>
  <c r="K30" i="1"/>
  <c r="F28" i="1"/>
  <c r="N32" i="1"/>
  <c r="G32" i="1"/>
  <c r="D35" i="1"/>
  <c r="G29" i="1"/>
  <c r="D42" i="1"/>
  <c r="E42" i="1" s="1"/>
  <c r="F42" i="1" s="1"/>
  <c r="G42" i="1" s="1"/>
  <c r="H42" i="1" s="1"/>
  <c r="I42" i="1" s="1"/>
  <c r="J42" i="1" s="1"/>
  <c r="K42" i="1" s="1"/>
  <c r="L42" i="1" s="1"/>
  <c r="M42" i="1" s="1"/>
  <c r="N42" i="1" s="1"/>
  <c r="O42" i="1" s="1"/>
  <c r="D36" i="1"/>
  <c r="E36" i="1" s="1"/>
  <c r="F36" i="1" s="1"/>
  <c r="G36" i="1" s="1"/>
  <c r="V37" i="1"/>
  <c r="V34" i="1"/>
  <c r="S10" i="4"/>
  <c r="E44" i="8"/>
  <c r="E42" i="8"/>
  <c r="V12" i="1"/>
  <c r="V27" i="1" s="1"/>
  <c r="T10" i="4"/>
  <c r="M12" i="1"/>
  <c r="M27" i="1" s="1"/>
  <c r="N10" i="4"/>
  <c r="H12" i="1"/>
  <c r="H27" i="1" s="1"/>
  <c r="I10" i="4"/>
  <c r="R10" i="4"/>
  <c r="R12" i="1"/>
  <c r="R27" i="1" s="1"/>
  <c r="G28" i="8"/>
  <c r="G40" i="8" s="1"/>
  <c r="H17" i="8"/>
  <c r="T35" i="1"/>
  <c r="V35" i="1"/>
  <c r="E53" i="8"/>
  <c r="H10" i="4"/>
  <c r="P10" i="4"/>
  <c r="L28" i="3"/>
  <c r="D12" i="1"/>
  <c r="D27" i="1" s="1"/>
  <c r="E10" i="4"/>
  <c r="I29" i="1"/>
  <c r="L28" i="1"/>
  <c r="N28" i="1"/>
  <c r="J31" i="1"/>
  <c r="F30" i="1"/>
  <c r="D29" i="1"/>
  <c r="O30" i="1"/>
  <c r="E30" i="1"/>
  <c r="M28" i="1"/>
  <c r="F32" i="1"/>
  <c r="E31" i="1"/>
  <c r="G31" i="1"/>
  <c r="G28" i="1"/>
  <c r="K10" i="4"/>
  <c r="J12" i="1"/>
  <c r="J27" i="1" s="1"/>
  <c r="I12" i="1"/>
  <c r="I27" i="1" s="1"/>
  <c r="J10" i="4"/>
  <c r="Q34" i="4"/>
  <c r="R34" i="4" s="1"/>
  <c r="S34" i="4" s="1"/>
  <c r="R35" i="1"/>
  <c r="L26" i="3"/>
  <c r="R38" i="1"/>
  <c r="T38" i="1"/>
  <c r="Q33" i="4"/>
  <c r="P23" i="1"/>
  <c r="T37" i="1"/>
  <c r="Q30" i="3"/>
  <c r="Q25" i="3"/>
  <c r="D28" i="4" l="1"/>
  <c r="M26" i="3"/>
  <c r="N26" i="3" s="1"/>
  <c r="O26" i="3" s="1"/>
  <c r="P26" i="3" s="1"/>
  <c r="R26" i="3"/>
  <c r="S26" i="3" s="1"/>
  <c r="T26" i="3" s="1"/>
  <c r="M28" i="3"/>
  <c r="N28" i="3" s="1"/>
  <c r="O28" i="3" s="1"/>
  <c r="P28" i="3" s="1"/>
  <c r="R28" i="3"/>
  <c r="S28" i="3" s="1"/>
  <c r="T28" i="3" s="1"/>
  <c r="M29" i="3"/>
  <c r="N29" i="3" s="1"/>
  <c r="O29" i="3" s="1"/>
  <c r="P29" i="3" s="1"/>
  <c r="M32" i="3"/>
  <c r="N32" i="3" s="1"/>
  <c r="O32" i="3" s="1"/>
  <c r="S32" i="3"/>
  <c r="N31" i="3"/>
  <c r="O31" i="3" s="1"/>
  <c r="P31" i="3" s="1"/>
  <c r="N24" i="3"/>
  <c r="O24" i="3" s="1"/>
  <c r="P24" i="3" s="1"/>
  <c r="G33" i="8"/>
  <c r="G45" i="8" s="1"/>
  <c r="Q18" i="3"/>
  <c r="H17" i="4"/>
  <c r="P34" i="1"/>
  <c r="Q34" i="1" s="1"/>
  <c r="S34" i="1" s="1"/>
  <c r="U34" i="1" s="1"/>
  <c r="W34" i="1" s="1"/>
  <c r="P37" i="1"/>
  <c r="Q37" i="1" s="1"/>
  <c r="S37" i="1" s="1"/>
  <c r="U37" i="1" s="1"/>
  <c r="W37" i="1" s="1"/>
  <c r="H11" i="3"/>
  <c r="H16" i="4" s="1"/>
  <c r="H25" i="8"/>
  <c r="H37" i="8" s="1"/>
  <c r="G39" i="8"/>
  <c r="G51" i="8" s="1"/>
  <c r="I35" i="8"/>
  <c r="G34" i="8"/>
  <c r="H38" i="3"/>
  <c r="G20" i="8"/>
  <c r="G32" i="8" s="1"/>
  <c r="G44" i="8" s="1"/>
  <c r="K18" i="8"/>
  <c r="L18" i="8" s="1"/>
  <c r="G29" i="8"/>
  <c r="G41" i="8" s="1"/>
  <c r="G53" i="8" s="1"/>
  <c r="G36" i="8"/>
  <c r="I13" i="8"/>
  <c r="J13" i="8" s="1"/>
  <c r="H24" i="8"/>
  <c r="H36" i="8" s="1"/>
  <c r="H48" i="8" s="1"/>
  <c r="G50" i="8"/>
  <c r="F42" i="8"/>
  <c r="F8" i="3" s="1"/>
  <c r="F30" i="8"/>
  <c r="H39" i="8"/>
  <c r="H51" i="8" s="1"/>
  <c r="H38" i="8"/>
  <c r="H50" i="8" s="1"/>
  <c r="J16" i="8"/>
  <c r="I27" i="8"/>
  <c r="I39" i="8" s="1"/>
  <c r="I51" i="8" s="1"/>
  <c r="J14" i="8"/>
  <c r="I25" i="8"/>
  <c r="I37" i="8" s="1"/>
  <c r="I49" i="8" s="1"/>
  <c r="J15" i="8"/>
  <c r="I26" i="8"/>
  <c r="I38" i="8" s="1"/>
  <c r="I50" i="8" s="1"/>
  <c r="F54" i="8"/>
  <c r="M21" i="3"/>
  <c r="P40" i="1"/>
  <c r="Q40" i="1" s="1"/>
  <c r="S40" i="1" s="1"/>
  <c r="U40" i="1" s="1"/>
  <c r="W40" i="1" s="1"/>
  <c r="D43" i="1"/>
  <c r="E37" i="3" s="1"/>
  <c r="P38" i="1"/>
  <c r="Q38" i="1" s="1"/>
  <c r="S38" i="1" s="1"/>
  <c r="U38" i="1" s="1"/>
  <c r="W38" i="1" s="1"/>
  <c r="Q17" i="3"/>
  <c r="E21" i="3"/>
  <c r="K21" i="3"/>
  <c r="J21" i="3"/>
  <c r="L21" i="3"/>
  <c r="P21" i="3"/>
  <c r="H21" i="3"/>
  <c r="N21" i="3"/>
  <c r="P39" i="1"/>
  <c r="Q39" i="1" s="1"/>
  <c r="S39" i="1" s="1"/>
  <c r="U39" i="1" s="1"/>
  <c r="W39" i="1" s="1"/>
  <c r="Q20" i="3"/>
  <c r="P42" i="1"/>
  <c r="Q42" i="1" s="1"/>
  <c r="S42" i="1" s="1"/>
  <c r="U42" i="1" s="1"/>
  <c r="W42" i="1" s="1"/>
  <c r="Q19" i="3"/>
  <c r="P32" i="1"/>
  <c r="Q32" i="1" s="1"/>
  <c r="R32" i="1" s="1"/>
  <c r="S32" i="1" s="1"/>
  <c r="H36" i="1"/>
  <c r="I36" i="1" s="1"/>
  <c r="J36" i="1" s="1"/>
  <c r="K36" i="1" s="1"/>
  <c r="L36" i="1" s="1"/>
  <c r="M36" i="1" s="1"/>
  <c r="N36" i="1" s="1"/>
  <c r="O36" i="1" s="1"/>
  <c r="E35" i="1"/>
  <c r="F35" i="1" s="1"/>
  <c r="G35" i="1" s="1"/>
  <c r="H35" i="1" s="1"/>
  <c r="P41" i="1"/>
  <c r="Q41" i="1" s="1"/>
  <c r="S41" i="1" s="1"/>
  <c r="U41" i="1" s="1"/>
  <c r="W41" i="1" s="1"/>
  <c r="L29" i="4"/>
  <c r="M29" i="4" s="1"/>
  <c r="N29" i="4" s="1"/>
  <c r="O29" i="4" s="1"/>
  <c r="P29" i="4" s="1"/>
  <c r="O21" i="3"/>
  <c r="P28" i="1"/>
  <c r="P30" i="1"/>
  <c r="Q30" i="1" s="1"/>
  <c r="E54" i="8"/>
  <c r="M23" i="3"/>
  <c r="N23" i="3" s="1"/>
  <c r="O23" i="3" s="1"/>
  <c r="P23" i="3" s="1"/>
  <c r="F21" i="3"/>
  <c r="Q16" i="3"/>
  <c r="H28" i="8"/>
  <c r="H40" i="8" s="1"/>
  <c r="I17" i="8"/>
  <c r="J9" i="8"/>
  <c r="E8" i="3"/>
  <c r="H33" i="8"/>
  <c r="H45" i="8" s="1"/>
  <c r="G52" i="8"/>
  <c r="I21" i="3"/>
  <c r="P31" i="1"/>
  <c r="Q31" i="1" s="1"/>
  <c r="P29" i="1"/>
  <c r="Q29" i="1" s="1"/>
  <c r="Q35" i="3"/>
  <c r="G21" i="3"/>
  <c r="P33" i="1"/>
  <c r="Q33" i="1" s="1"/>
  <c r="S33" i="1" s="1"/>
  <c r="U33" i="1" s="1"/>
  <c r="W33" i="1" s="1"/>
  <c r="Q26" i="3"/>
  <c r="Q28" i="3" l="1"/>
  <c r="Q32" i="3"/>
  <c r="Q29" i="3"/>
  <c r="Q31" i="3"/>
  <c r="S31" i="3"/>
  <c r="Q24" i="3"/>
  <c r="I17" i="4"/>
  <c r="D44" i="1"/>
  <c r="E18" i="4"/>
  <c r="I11" i="3"/>
  <c r="J11" i="3" s="1"/>
  <c r="G46" i="8"/>
  <c r="H34" i="8"/>
  <c r="H46" i="8" s="1"/>
  <c r="H29" i="8"/>
  <c r="J35" i="8"/>
  <c r="J47" i="8" s="1"/>
  <c r="I47" i="8"/>
  <c r="H20" i="8"/>
  <c r="L38" i="3"/>
  <c r="J38" i="3"/>
  <c r="P38" i="3"/>
  <c r="O38" i="3"/>
  <c r="M38" i="3"/>
  <c r="N38" i="3"/>
  <c r="I38" i="3"/>
  <c r="K38" i="3"/>
  <c r="G30" i="8"/>
  <c r="G42" i="8"/>
  <c r="G8" i="3" s="1"/>
  <c r="K14" i="8"/>
  <c r="J25" i="8"/>
  <c r="H49" i="8"/>
  <c r="I24" i="8"/>
  <c r="I36" i="8" s="1"/>
  <c r="I48" i="8" s="1"/>
  <c r="K15" i="8"/>
  <c r="J26" i="8"/>
  <c r="J38" i="8"/>
  <c r="K16" i="8"/>
  <c r="J27" i="8"/>
  <c r="J39" i="8" s="1"/>
  <c r="J51" i="8" s="1"/>
  <c r="G48" i="8"/>
  <c r="E43" i="1"/>
  <c r="F37" i="3" s="1"/>
  <c r="P36" i="1"/>
  <c r="Q36" i="1" s="1"/>
  <c r="S36" i="1" s="1"/>
  <c r="U36" i="1" s="1"/>
  <c r="W36" i="1" s="1"/>
  <c r="Q29" i="4"/>
  <c r="G43" i="1"/>
  <c r="H37" i="3" s="1"/>
  <c r="H39" i="3" s="1"/>
  <c r="I35" i="1"/>
  <c r="H43" i="1"/>
  <c r="J16" i="4"/>
  <c r="K11" i="3"/>
  <c r="F43" i="1"/>
  <c r="G18" i="4" s="1"/>
  <c r="H52" i="8"/>
  <c r="T32" i="1"/>
  <c r="U32" i="1" s="1"/>
  <c r="R31" i="1"/>
  <c r="S31" i="1" s="1"/>
  <c r="J17" i="8"/>
  <c r="I28" i="8"/>
  <c r="R30" i="1"/>
  <c r="S30" i="1" s="1"/>
  <c r="Q23" i="3"/>
  <c r="E39" i="3"/>
  <c r="R21" i="3"/>
  <c r="Q28" i="1"/>
  <c r="M18" i="8"/>
  <c r="K9" i="8"/>
  <c r="R29" i="1"/>
  <c r="S29" i="1" s="1"/>
  <c r="J10" i="8"/>
  <c r="I33" i="8"/>
  <c r="Q21" i="3"/>
  <c r="R29" i="4" l="1"/>
  <c r="R38" i="3" s="1"/>
  <c r="J17" i="4"/>
  <c r="K17" i="4" s="1"/>
  <c r="H30" i="8"/>
  <c r="G37" i="3"/>
  <c r="G39" i="3" s="1"/>
  <c r="I16" i="4"/>
  <c r="G54" i="8"/>
  <c r="K35" i="8"/>
  <c r="K47" i="8" s="1"/>
  <c r="I34" i="8"/>
  <c r="I46" i="8" s="1"/>
  <c r="H41" i="8"/>
  <c r="H53" i="8" s="1"/>
  <c r="I29" i="8"/>
  <c r="H32" i="8"/>
  <c r="I20" i="8"/>
  <c r="Q38" i="3"/>
  <c r="D38" i="3" s="1"/>
  <c r="J37" i="8"/>
  <c r="L15" i="8"/>
  <c r="K26" i="8"/>
  <c r="K38" i="8" s="1"/>
  <c r="K50" i="8" s="1"/>
  <c r="L14" i="8"/>
  <c r="K25" i="8"/>
  <c r="K37" i="8" s="1"/>
  <c r="K49" i="8" s="1"/>
  <c r="L16" i="8"/>
  <c r="K27" i="8"/>
  <c r="K39" i="8" s="1"/>
  <c r="K51" i="8" s="1"/>
  <c r="K13" i="8"/>
  <c r="J24" i="8"/>
  <c r="J36" i="8" s="1"/>
  <c r="J50" i="8"/>
  <c r="F18" i="4"/>
  <c r="E44" i="1"/>
  <c r="F44" i="1" s="1"/>
  <c r="G44" i="1" s="1"/>
  <c r="H44" i="1" s="1"/>
  <c r="H18" i="4"/>
  <c r="J35" i="1"/>
  <c r="I43" i="1"/>
  <c r="I18" i="4"/>
  <c r="I37" i="3"/>
  <c r="I39" i="3" s="1"/>
  <c r="K16" i="4"/>
  <c r="L11" i="3"/>
  <c r="F39" i="3"/>
  <c r="T31" i="1"/>
  <c r="U31" i="1" s="1"/>
  <c r="I45" i="8"/>
  <c r="V32" i="1"/>
  <c r="W32" i="1" s="1"/>
  <c r="T29" i="1"/>
  <c r="U29" i="1" s="1"/>
  <c r="T21" i="3"/>
  <c r="S21" i="3"/>
  <c r="K10" i="8"/>
  <c r="J33" i="8"/>
  <c r="J45" i="8" s="1"/>
  <c r="S29" i="4"/>
  <c r="S38" i="3" s="1"/>
  <c r="T30" i="1"/>
  <c r="U30" i="1" s="1"/>
  <c r="N18" i="8"/>
  <c r="R28" i="1"/>
  <c r="R43" i="1" s="1"/>
  <c r="R37" i="3" s="1"/>
  <c r="R18" i="4" s="1"/>
  <c r="K17" i="8"/>
  <c r="J28" i="8"/>
  <c r="L9" i="8"/>
  <c r="I40" i="8"/>
  <c r="D29" i="4" l="1"/>
  <c r="D21" i="3"/>
  <c r="L17" i="4"/>
  <c r="M17" i="4" s="1"/>
  <c r="N17" i="4" s="1"/>
  <c r="O17" i="4" s="1"/>
  <c r="P17" i="4" s="1"/>
  <c r="R17" i="4"/>
  <c r="S17" i="4" s="1"/>
  <c r="T17" i="4" s="1"/>
  <c r="I44" i="1"/>
  <c r="I41" i="8"/>
  <c r="I53" i="8" s="1"/>
  <c r="J29" i="8"/>
  <c r="L35" i="8"/>
  <c r="J34" i="8"/>
  <c r="J46" i="8" s="1"/>
  <c r="I32" i="8"/>
  <c r="I44" i="8" s="1"/>
  <c r="J20" i="8"/>
  <c r="I30" i="8"/>
  <c r="H44" i="8"/>
  <c r="H54" i="8" s="1"/>
  <c r="H42" i="8"/>
  <c r="H8" i="3" s="1"/>
  <c r="J48" i="8"/>
  <c r="M16" i="8"/>
  <c r="L27" i="8"/>
  <c r="L39" i="8" s="1"/>
  <c r="L51" i="8" s="1"/>
  <c r="J49" i="8"/>
  <c r="L13" i="8"/>
  <c r="K24" i="8"/>
  <c r="K36" i="8" s="1"/>
  <c r="M15" i="8"/>
  <c r="N15" i="8" s="1"/>
  <c r="L26" i="8"/>
  <c r="L38" i="8" s="1"/>
  <c r="L50" i="8" s="1"/>
  <c r="M14" i="8"/>
  <c r="L25" i="8"/>
  <c r="L37" i="8" s="1"/>
  <c r="L49" i="8" s="1"/>
  <c r="M11" i="3"/>
  <c r="L16" i="4"/>
  <c r="S28" i="1"/>
  <c r="T28" i="1" s="1"/>
  <c r="J37" i="3"/>
  <c r="J39" i="3" s="1"/>
  <c r="J18" i="4"/>
  <c r="K35" i="1"/>
  <c r="J43" i="1"/>
  <c r="V30" i="1"/>
  <c r="W30" i="1" s="1"/>
  <c r="V29" i="1"/>
  <c r="W29" i="1" s="1"/>
  <c r="J40" i="8"/>
  <c r="J52" i="8" s="1"/>
  <c r="T29" i="4"/>
  <c r="T38" i="3" s="1"/>
  <c r="O18" i="8"/>
  <c r="P18" i="8" s="1"/>
  <c r="Q18" i="8" s="1"/>
  <c r="R18" i="8" s="1"/>
  <c r="S18" i="8" s="1"/>
  <c r="T18" i="8" s="1"/>
  <c r="V31" i="1"/>
  <c r="W31" i="1" s="1"/>
  <c r="K28" i="8"/>
  <c r="K40" i="8" s="1"/>
  <c r="L17" i="8"/>
  <c r="M9" i="8"/>
  <c r="I52" i="8"/>
  <c r="L10" i="8"/>
  <c r="K33" i="8"/>
  <c r="Q17" i="4" l="1"/>
  <c r="J44" i="1"/>
  <c r="L47" i="8"/>
  <c r="J41" i="8"/>
  <c r="J53" i="8" s="1"/>
  <c r="K29" i="8"/>
  <c r="K34" i="8"/>
  <c r="K46" i="8" s="1"/>
  <c r="M35" i="8"/>
  <c r="M47" i="8" s="1"/>
  <c r="K20" i="8"/>
  <c r="J32" i="8"/>
  <c r="J44" i="8" s="1"/>
  <c r="J30" i="8"/>
  <c r="I42" i="8"/>
  <c r="I8" i="3" s="1"/>
  <c r="K48" i="8"/>
  <c r="N14" i="8"/>
  <c r="M25" i="8"/>
  <c r="M37" i="8" s="1"/>
  <c r="M49" i="8" s="1"/>
  <c r="N16" i="8"/>
  <c r="M27" i="8"/>
  <c r="M39" i="8" s="1"/>
  <c r="M51" i="8" s="1"/>
  <c r="M13" i="8"/>
  <c r="L24" i="8"/>
  <c r="L36" i="8" s="1"/>
  <c r="L48" i="8" s="1"/>
  <c r="M26" i="8"/>
  <c r="M38" i="8" s="1"/>
  <c r="M50" i="8" s="1"/>
  <c r="T43" i="1"/>
  <c r="S37" i="3" s="1"/>
  <c r="S18" i="4" s="1"/>
  <c r="U28" i="1"/>
  <c r="V28" i="1" s="1"/>
  <c r="V43" i="1" s="1"/>
  <c r="T37" i="3" s="1"/>
  <c r="K18" i="4"/>
  <c r="K37" i="3"/>
  <c r="L35" i="1"/>
  <c r="K43" i="1"/>
  <c r="M16" i="4"/>
  <c r="N11" i="3"/>
  <c r="K52" i="8"/>
  <c r="K45" i="8"/>
  <c r="L33" i="8"/>
  <c r="L45" i="8" s="1"/>
  <c r="M10" i="8"/>
  <c r="M17" i="8"/>
  <c r="L28" i="8"/>
  <c r="L40" i="8" s="1"/>
  <c r="I54" i="8"/>
  <c r="J54" i="8" l="1"/>
  <c r="L34" i="8"/>
  <c r="L46" i="8" s="1"/>
  <c r="K41" i="8"/>
  <c r="K53" i="8" s="1"/>
  <c r="L29" i="8"/>
  <c r="K30" i="8"/>
  <c r="N35" i="8"/>
  <c r="N47" i="8" s="1"/>
  <c r="K32" i="8"/>
  <c r="L20" i="8"/>
  <c r="J42" i="8"/>
  <c r="J8" i="3" s="1"/>
  <c r="O15" i="8"/>
  <c r="N26" i="8"/>
  <c r="N38" i="8" s="1"/>
  <c r="N50" i="8" s="1"/>
  <c r="O16" i="8"/>
  <c r="N27" i="8"/>
  <c r="N39" i="8" s="1"/>
  <c r="N51" i="8" s="1"/>
  <c r="O14" i="8"/>
  <c r="N25" i="8"/>
  <c r="N37" i="8" s="1"/>
  <c r="N49" i="8" s="1"/>
  <c r="N13" i="8"/>
  <c r="M24" i="8"/>
  <c r="M36" i="8" s="1"/>
  <c r="M48" i="8" s="1"/>
  <c r="L37" i="3"/>
  <c r="L39" i="3" s="1"/>
  <c r="L18" i="4"/>
  <c r="K39" i="3"/>
  <c r="K44" i="1"/>
  <c r="M35" i="1"/>
  <c r="L43" i="1"/>
  <c r="W28" i="1"/>
  <c r="N16" i="4"/>
  <c r="O11" i="3"/>
  <c r="L52" i="8"/>
  <c r="N17" i="8"/>
  <c r="M28" i="8"/>
  <c r="T18" i="4"/>
  <c r="N10" i="8"/>
  <c r="M33" i="8"/>
  <c r="M45" i="8" s="1"/>
  <c r="M34" i="8" l="1"/>
  <c r="M46" i="8" s="1"/>
  <c r="L41" i="8"/>
  <c r="L53" i="8" s="1"/>
  <c r="M29" i="8"/>
  <c r="L30" i="8"/>
  <c r="O35" i="8"/>
  <c r="O47" i="8" s="1"/>
  <c r="P35" i="8"/>
  <c r="P47" i="8" s="1"/>
  <c r="L32" i="8"/>
  <c r="M20" i="8"/>
  <c r="K44" i="8"/>
  <c r="K54" i="8" s="1"/>
  <c r="K42" i="8"/>
  <c r="K8" i="3" s="1"/>
  <c r="O13" i="8"/>
  <c r="N24" i="8"/>
  <c r="N36" i="8" s="1"/>
  <c r="N48" i="8" s="1"/>
  <c r="P16" i="8"/>
  <c r="Q16" i="8" s="1"/>
  <c r="R16" i="8" s="1"/>
  <c r="S16" i="8" s="1"/>
  <c r="T16" i="8" s="1"/>
  <c r="O27" i="8"/>
  <c r="O39" i="8" s="1"/>
  <c r="O51" i="8" s="1"/>
  <c r="P14" i="8"/>
  <c r="Q14" i="8" s="1"/>
  <c r="R14" i="8" s="1"/>
  <c r="S14" i="8" s="1"/>
  <c r="T14" i="8" s="1"/>
  <c r="O25" i="8"/>
  <c r="O37" i="8" s="1"/>
  <c r="O49" i="8" s="1"/>
  <c r="P15" i="8"/>
  <c r="Q15" i="8" s="1"/>
  <c r="R15" i="8" s="1"/>
  <c r="S15" i="8" s="1"/>
  <c r="T15" i="8" s="1"/>
  <c r="O26" i="8"/>
  <c r="O38" i="8" s="1"/>
  <c r="O50" i="8" s="1"/>
  <c r="L44" i="1"/>
  <c r="N35" i="1"/>
  <c r="M43" i="1"/>
  <c r="O16" i="4"/>
  <c r="P11" i="3"/>
  <c r="M37" i="3"/>
  <c r="M18" i="4"/>
  <c r="M40" i="8"/>
  <c r="M52" i="8" s="1"/>
  <c r="N28" i="8"/>
  <c r="N40" i="8" s="1"/>
  <c r="N52" i="8" s="1"/>
  <c r="O17" i="8"/>
  <c r="O10" i="8"/>
  <c r="Q9" i="8"/>
  <c r="S9" i="8" s="1"/>
  <c r="T9" i="8" s="1"/>
  <c r="Q47" i="8" l="1"/>
  <c r="M30" i="8"/>
  <c r="N34" i="8"/>
  <c r="N46" i="8" s="1"/>
  <c r="M41" i="8"/>
  <c r="M53" i="8" s="1"/>
  <c r="N29" i="8"/>
  <c r="Q23" i="8"/>
  <c r="Q35" i="8"/>
  <c r="M32" i="8"/>
  <c r="M44" i="8" s="1"/>
  <c r="M54" i="8" s="1"/>
  <c r="L42" i="8"/>
  <c r="L8" i="3" s="1"/>
  <c r="L44" i="8"/>
  <c r="L54" i="8" s="1"/>
  <c r="N33" i="8"/>
  <c r="N45" i="8" s="1"/>
  <c r="P27" i="8"/>
  <c r="Q27" i="8" s="1"/>
  <c r="R27" i="8" s="1"/>
  <c r="S27" i="8" s="1"/>
  <c r="T27" i="8" s="1"/>
  <c r="P26" i="8"/>
  <c r="Q26" i="8" s="1"/>
  <c r="R26" i="8" s="1"/>
  <c r="S26" i="8" s="1"/>
  <c r="T26" i="8" s="1"/>
  <c r="P13" i="8"/>
  <c r="Q13" i="8" s="1"/>
  <c r="R13" i="8" s="1"/>
  <c r="S13" i="8" s="1"/>
  <c r="T13" i="8" s="1"/>
  <c r="O24" i="8"/>
  <c r="O36" i="8" s="1"/>
  <c r="O48" i="8" s="1"/>
  <c r="P25" i="8"/>
  <c r="Q25" i="8" s="1"/>
  <c r="R25" i="8" s="1"/>
  <c r="S25" i="8" s="1"/>
  <c r="T25" i="8" s="1"/>
  <c r="M39" i="3"/>
  <c r="P16" i="4"/>
  <c r="Q16" i="4" s="1"/>
  <c r="Q11" i="3"/>
  <c r="N37" i="3"/>
  <c r="N39" i="3" s="1"/>
  <c r="N18" i="4"/>
  <c r="O35" i="1"/>
  <c r="N43" i="1"/>
  <c r="M44" i="1"/>
  <c r="P17" i="8"/>
  <c r="Q17" i="8" s="1"/>
  <c r="R17" i="8" s="1"/>
  <c r="S17" i="8" s="1"/>
  <c r="T17" i="8" s="1"/>
  <c r="O28" i="8"/>
  <c r="O40" i="8" s="1"/>
  <c r="P10" i="8"/>
  <c r="Q10" i="8" s="1"/>
  <c r="S10" i="8" s="1"/>
  <c r="T10" i="8" s="1"/>
  <c r="M42" i="8" l="1"/>
  <c r="M8" i="3" s="1"/>
  <c r="R35" i="8"/>
  <c r="R47" i="8" s="1"/>
  <c r="N41" i="8"/>
  <c r="O29" i="8"/>
  <c r="N30" i="8"/>
  <c r="O34" i="8"/>
  <c r="O46" i="8" s="1"/>
  <c r="N32" i="8"/>
  <c r="N44" i="8" s="1"/>
  <c r="P39" i="8"/>
  <c r="P51" i="8" s="1"/>
  <c r="Q51" i="8" s="1"/>
  <c r="P37" i="8"/>
  <c r="P49" i="8" s="1"/>
  <c r="Q49" i="8" s="1"/>
  <c r="P38" i="8"/>
  <c r="P24" i="8"/>
  <c r="Q24" i="8" s="1"/>
  <c r="R24" i="8" s="1"/>
  <c r="S24" i="8" s="1"/>
  <c r="T24" i="8" s="1"/>
  <c r="O33" i="8"/>
  <c r="O45" i="8" s="1"/>
  <c r="O18" i="4"/>
  <c r="O37" i="3"/>
  <c r="O39" i="3" s="1"/>
  <c r="O43" i="1"/>
  <c r="P35" i="1"/>
  <c r="N44" i="1"/>
  <c r="O52" i="8"/>
  <c r="Q21" i="8"/>
  <c r="P28" i="8"/>
  <c r="Q28" i="8" s="1"/>
  <c r="R28" i="8" s="1"/>
  <c r="S28" i="8" s="1"/>
  <c r="T28" i="8" s="1"/>
  <c r="O44" i="1" l="1"/>
  <c r="O30" i="8"/>
  <c r="N53" i="8"/>
  <c r="N54" i="8" s="1"/>
  <c r="O41" i="8"/>
  <c r="O53" i="8" s="1"/>
  <c r="P29" i="8"/>
  <c r="N42" i="8"/>
  <c r="N8" i="3" s="1"/>
  <c r="T35" i="8"/>
  <c r="T47" i="8" s="1"/>
  <c r="S35" i="8"/>
  <c r="S47" i="8" s="1"/>
  <c r="P34" i="8"/>
  <c r="Q22" i="8"/>
  <c r="O32" i="8"/>
  <c r="P32" i="8"/>
  <c r="P44" i="8" s="1"/>
  <c r="Q37" i="8"/>
  <c r="D37" i="8" s="1"/>
  <c r="R39" i="8"/>
  <c r="R51" i="8" s="1"/>
  <c r="Q39" i="8"/>
  <c r="D39" i="8" s="1"/>
  <c r="R38" i="8"/>
  <c r="R50" i="8" s="1"/>
  <c r="T38" i="8"/>
  <c r="T50" i="8" s="1"/>
  <c r="S38" i="8"/>
  <c r="S50" i="8" s="1"/>
  <c r="R37" i="8"/>
  <c r="R49" i="8" s="1"/>
  <c r="T37" i="8"/>
  <c r="T49" i="8" s="1"/>
  <c r="S37" i="8"/>
  <c r="S49" i="8" s="1"/>
  <c r="T39" i="8"/>
  <c r="T51" i="8" s="1"/>
  <c r="S39" i="8"/>
  <c r="S51" i="8" s="1"/>
  <c r="P36" i="8"/>
  <c r="P50" i="8"/>
  <c r="Q50" i="8" s="1"/>
  <c r="Q38" i="8"/>
  <c r="P37" i="3"/>
  <c r="P18" i="4"/>
  <c r="Q18" i="4" s="1"/>
  <c r="D18" i="4" s="1"/>
  <c r="Q35" i="1"/>
  <c r="P43" i="1"/>
  <c r="P40" i="8"/>
  <c r="Q40" i="8" s="1"/>
  <c r="P33" i="8"/>
  <c r="R33" i="8"/>
  <c r="D47" i="8" l="1"/>
  <c r="D51" i="8"/>
  <c r="D38" i="8"/>
  <c r="D35" i="8"/>
  <c r="R45" i="8"/>
  <c r="D49" i="8"/>
  <c r="D50" i="8"/>
  <c r="O42" i="8"/>
  <c r="O8" i="3" s="1"/>
  <c r="P30" i="8"/>
  <c r="Q30" i="8" s="1"/>
  <c r="Q29" i="8"/>
  <c r="R29" i="8" s="1"/>
  <c r="S29" i="8" s="1"/>
  <c r="T29" i="8" s="1"/>
  <c r="P41" i="8"/>
  <c r="P53" i="8" s="1"/>
  <c r="Q53" i="8" s="1"/>
  <c r="P52" i="8"/>
  <c r="Q52" i="8" s="1"/>
  <c r="P46" i="8"/>
  <c r="Q46" i="8" s="1"/>
  <c r="Q34" i="8"/>
  <c r="R34" i="8"/>
  <c r="R46" i="8" s="1"/>
  <c r="O44" i="8"/>
  <c r="Q32" i="8"/>
  <c r="Q20" i="8"/>
  <c r="T20" i="8" s="1"/>
  <c r="R36" i="8"/>
  <c r="R48" i="8" s="1"/>
  <c r="R40" i="8"/>
  <c r="R52" i="8" s="1"/>
  <c r="T36" i="8"/>
  <c r="T48" i="8" s="1"/>
  <c r="S36" i="8"/>
  <c r="S48" i="8" s="1"/>
  <c r="P48" i="8"/>
  <c r="Q48" i="8" s="1"/>
  <c r="Q36" i="8"/>
  <c r="D36" i="8" s="1"/>
  <c r="S35" i="1"/>
  <c r="Q43" i="1"/>
  <c r="Q37" i="3"/>
  <c r="D37" i="3" s="1"/>
  <c r="P45" i="8"/>
  <c r="Q33" i="8"/>
  <c r="S40" i="8"/>
  <c r="S52" i="8" s="1"/>
  <c r="T40" i="8"/>
  <c r="T52" i="8" s="1"/>
  <c r="S33" i="8"/>
  <c r="S45" i="8" s="1"/>
  <c r="T33" i="8"/>
  <c r="T45" i="8" s="1"/>
  <c r="Q41" i="8" l="1"/>
  <c r="D40" i="8"/>
  <c r="D33" i="8"/>
  <c r="D48" i="8"/>
  <c r="D52" i="8"/>
  <c r="P42" i="8"/>
  <c r="P8" i="3" s="1"/>
  <c r="T34" i="8"/>
  <c r="T46" i="8" s="1"/>
  <c r="S34" i="8"/>
  <c r="S46" i="8" s="1"/>
  <c r="R41" i="8"/>
  <c r="R53" i="8" s="1"/>
  <c r="R32" i="8"/>
  <c r="R44" i="8" s="1"/>
  <c r="R30" i="8"/>
  <c r="Q44" i="8"/>
  <c r="O54" i="8"/>
  <c r="U35" i="1"/>
  <c r="S43" i="1"/>
  <c r="Q45" i="8"/>
  <c r="D45" i="8" s="1"/>
  <c r="P54" i="8"/>
  <c r="D46" i="8" l="1"/>
  <c r="D34" i="8"/>
  <c r="Q42" i="8"/>
  <c r="R54" i="8"/>
  <c r="T41" i="8"/>
  <c r="T53" i="8" s="1"/>
  <c r="S41" i="8"/>
  <c r="S53" i="8" s="1"/>
  <c r="D53" i="8" s="1"/>
  <c r="R42" i="8"/>
  <c r="Q54" i="8"/>
  <c r="S32" i="8"/>
  <c r="S30" i="8"/>
  <c r="W35" i="1"/>
  <c r="W43" i="1" s="1"/>
  <c r="U43" i="1"/>
  <c r="D41" i="8" l="1"/>
  <c r="P65" i="8"/>
  <c r="O65" i="8"/>
  <c r="O64" i="8"/>
  <c r="O63" i="8"/>
  <c r="O62" i="8"/>
  <c r="O61" i="8"/>
  <c r="O60" i="8"/>
  <c r="O59" i="8"/>
  <c r="O58" i="8"/>
  <c r="O57" i="8"/>
  <c r="O56" i="8"/>
  <c r="N64" i="8"/>
  <c r="N63" i="8"/>
  <c r="N62" i="8"/>
  <c r="N61" i="8"/>
  <c r="N60" i="8"/>
  <c r="N59" i="8"/>
  <c r="N58" i="8"/>
  <c r="N57" i="8"/>
  <c r="N56" i="8"/>
  <c r="M64" i="8"/>
  <c r="M63" i="8"/>
  <c r="M62" i="8"/>
  <c r="M61" i="8"/>
  <c r="M60" i="8"/>
  <c r="M59" i="8"/>
  <c r="M58" i="8"/>
  <c r="M57" i="8"/>
  <c r="M56" i="8"/>
  <c r="I63" i="8"/>
  <c r="I62" i="8"/>
  <c r="I60" i="8"/>
  <c r="I58" i="8"/>
  <c r="I56" i="8"/>
  <c r="H62" i="8"/>
  <c r="H60" i="8"/>
  <c r="H57" i="8"/>
  <c r="G63" i="8"/>
  <c r="G62" i="8"/>
  <c r="G60" i="8"/>
  <c r="G58" i="8"/>
  <c r="G56" i="8"/>
  <c r="F63" i="8"/>
  <c r="F61" i="8"/>
  <c r="F59" i="8"/>
  <c r="F56" i="8"/>
  <c r="E63" i="8"/>
  <c r="E61" i="8"/>
  <c r="E58" i="8"/>
  <c r="P64" i="8"/>
  <c r="P61" i="8"/>
  <c r="P58" i="8"/>
  <c r="P56" i="8"/>
  <c r="N65" i="8"/>
  <c r="M65" i="8"/>
  <c r="L65" i="8"/>
  <c r="L64" i="8"/>
  <c r="L63" i="8"/>
  <c r="L62" i="8"/>
  <c r="L61" i="8"/>
  <c r="L60" i="8"/>
  <c r="L59" i="8"/>
  <c r="L58" i="8"/>
  <c r="L57" i="8"/>
  <c r="L56" i="8"/>
  <c r="K64" i="8"/>
  <c r="K63" i="8"/>
  <c r="K62" i="8"/>
  <c r="K61" i="8"/>
  <c r="K60" i="8"/>
  <c r="K59" i="8"/>
  <c r="K58" i="8"/>
  <c r="K57" i="8"/>
  <c r="K56" i="8"/>
  <c r="J64" i="8"/>
  <c r="J63" i="8"/>
  <c r="J62" i="8"/>
  <c r="J61" i="8"/>
  <c r="J60" i="8"/>
  <c r="J59" i="8"/>
  <c r="J58" i="8"/>
  <c r="J57" i="8"/>
  <c r="J56" i="8"/>
  <c r="I64" i="8"/>
  <c r="I61" i="8"/>
  <c r="I59" i="8"/>
  <c r="I57" i="8"/>
  <c r="H63" i="8"/>
  <c r="H61" i="8"/>
  <c r="H59" i="8"/>
  <c r="H58" i="8"/>
  <c r="H56" i="8"/>
  <c r="G64" i="8"/>
  <c r="G61" i="8"/>
  <c r="G59" i="8"/>
  <c r="G57" i="8"/>
  <c r="F64" i="8"/>
  <c r="F62" i="8"/>
  <c r="F60" i="8"/>
  <c r="F57" i="8"/>
  <c r="E64" i="8"/>
  <c r="E60" i="8"/>
  <c r="E59" i="8"/>
  <c r="E56" i="8"/>
  <c r="P62" i="8"/>
  <c r="P60" i="8"/>
  <c r="P57" i="8"/>
  <c r="K65" i="8"/>
  <c r="H64" i="8"/>
  <c r="F58" i="8"/>
  <c r="E62" i="8"/>
  <c r="E57" i="8"/>
  <c r="P63" i="8"/>
  <c r="P59" i="8"/>
  <c r="J65" i="8"/>
  <c r="I65" i="8"/>
  <c r="H65" i="8"/>
  <c r="G65" i="8"/>
  <c r="F65" i="8"/>
  <c r="E65" i="8"/>
  <c r="R8" i="3"/>
  <c r="R43" i="8"/>
  <c r="R31" i="8"/>
  <c r="Q8" i="3"/>
  <c r="T30" i="8"/>
  <c r="D30" i="8" s="1"/>
  <c r="T32" i="8"/>
  <c r="D32" i="8" s="1"/>
  <c r="S44" i="8"/>
  <c r="S42" i="8"/>
  <c r="S31" i="8" s="1"/>
  <c r="E69" i="8"/>
  <c r="E70" i="8"/>
  <c r="E71" i="8"/>
  <c r="E78" i="8" l="1"/>
  <c r="E12" i="3" s="1"/>
  <c r="S8" i="3"/>
  <c r="S54" i="8"/>
  <c r="E85" i="8"/>
  <c r="F9" i="3"/>
  <c r="F19" i="4" s="1"/>
  <c r="M9" i="3"/>
  <c r="H9" i="3"/>
  <c r="H10" i="3" s="1"/>
  <c r="E82" i="8"/>
  <c r="G9" i="3"/>
  <c r="G10" i="3" s="1"/>
  <c r="E67" i="8"/>
  <c r="E9" i="3"/>
  <c r="E10" i="3" s="1"/>
  <c r="E84" i="8"/>
  <c r="I9" i="3"/>
  <c r="I10" i="3" s="1"/>
  <c r="L9" i="3"/>
  <c r="L10" i="3" s="1"/>
  <c r="E88" i="8"/>
  <c r="O9" i="3"/>
  <c r="O10" i="3" s="1"/>
  <c r="K9" i="3"/>
  <c r="K10" i="3" s="1"/>
  <c r="N9" i="3"/>
  <c r="E80" i="8"/>
  <c r="P9" i="3"/>
  <c r="P10" i="3" s="1"/>
  <c r="E14" i="3"/>
  <c r="J9" i="3"/>
  <c r="E83" i="8"/>
  <c r="T42" i="8"/>
  <c r="T31" i="8" s="1"/>
  <c r="T44" i="8"/>
  <c r="T54" i="8" s="1"/>
  <c r="I76" i="8"/>
  <c r="G71" i="8"/>
  <c r="F72" i="8"/>
  <c r="F74" i="8"/>
  <c r="F77" i="8"/>
  <c r="G72" i="8"/>
  <c r="J72" i="8"/>
  <c r="F76" i="8"/>
  <c r="G69" i="8"/>
  <c r="K75" i="8"/>
  <c r="G75" i="8"/>
  <c r="G77" i="8"/>
  <c r="H73" i="8"/>
  <c r="G73" i="8"/>
  <c r="H75" i="8"/>
  <c r="F68" i="8"/>
  <c r="G76" i="8"/>
  <c r="F70" i="8"/>
  <c r="H69" i="8"/>
  <c r="I73" i="8"/>
  <c r="G74" i="8"/>
  <c r="J74" i="8"/>
  <c r="F69" i="8"/>
  <c r="L75" i="8"/>
  <c r="I72" i="8"/>
  <c r="F73" i="8"/>
  <c r="I75" i="8"/>
  <c r="H74" i="8"/>
  <c r="F75" i="8"/>
  <c r="F71" i="8"/>
  <c r="E13" i="3" l="1"/>
  <c r="E40" i="3" s="1"/>
  <c r="E19" i="4"/>
  <c r="G19" i="4" s="1"/>
  <c r="J19" i="4" s="1"/>
  <c r="H19" i="4"/>
  <c r="O19" i="4"/>
  <c r="D44" i="8"/>
  <c r="T43" i="8"/>
  <c r="S43" i="8"/>
  <c r="D54" i="8"/>
  <c r="T8" i="3"/>
  <c r="D8" i="3" s="1"/>
  <c r="D42" i="8"/>
  <c r="I19" i="4"/>
  <c r="L19" i="4" s="1"/>
  <c r="N66" i="8"/>
  <c r="F10" i="3"/>
  <c r="Q58" i="8"/>
  <c r="N19" i="4"/>
  <c r="G66" i="8"/>
  <c r="I66" i="8"/>
  <c r="O66" i="8"/>
  <c r="L66" i="8"/>
  <c r="Q64" i="8"/>
  <c r="Q9" i="3"/>
  <c r="D10" i="1" s="1"/>
  <c r="M19" i="4"/>
  <c r="J10" i="3"/>
  <c r="J66" i="8"/>
  <c r="F81" i="8"/>
  <c r="F88" i="8"/>
  <c r="H85" i="8"/>
  <c r="F84" i="8"/>
  <c r="F80" i="8"/>
  <c r="H87" i="8"/>
  <c r="F89" i="8"/>
  <c r="P19" i="4"/>
  <c r="E66" i="8"/>
  <c r="F82" i="8"/>
  <c r="N10" i="3"/>
  <c r="Q60" i="8"/>
  <c r="F85" i="8"/>
  <c r="M10" i="3"/>
  <c r="M66" i="8"/>
  <c r="K19" i="4"/>
  <c r="E89" i="8"/>
  <c r="E81" i="8"/>
  <c r="Q65" i="8"/>
  <c r="Q62" i="8"/>
  <c r="H66" i="8"/>
  <c r="Q61" i="8"/>
  <c r="E86" i="8"/>
  <c r="K66" i="8"/>
  <c r="F66" i="8"/>
  <c r="Q63" i="8"/>
  <c r="Q59" i="8"/>
  <c r="Q57" i="8"/>
  <c r="G81" i="8"/>
  <c r="G86" i="8"/>
  <c r="F78" i="8"/>
  <c r="F12" i="3" s="1"/>
  <c r="F86" i="8"/>
  <c r="G85" i="8"/>
  <c r="F87" i="8"/>
  <c r="G87" i="8"/>
  <c r="Q56" i="8"/>
  <c r="F83" i="8"/>
  <c r="E87" i="8"/>
  <c r="P66" i="8"/>
  <c r="K87" i="8"/>
  <c r="I84" i="8"/>
  <c r="G83" i="8"/>
  <c r="L87" i="8"/>
  <c r="G88" i="8"/>
  <c r="H81" i="8"/>
  <c r="J84" i="8"/>
  <c r="I88" i="8"/>
  <c r="G89" i="8"/>
  <c r="G84" i="8"/>
  <c r="H86" i="8"/>
  <c r="I87" i="8"/>
  <c r="I85" i="8"/>
  <c r="J86" i="8"/>
  <c r="C54" i="8"/>
  <c r="C9" i="3" s="1"/>
  <c r="H70" i="8"/>
  <c r="G70" i="8"/>
  <c r="R75" i="8"/>
  <c r="H76" i="8"/>
  <c r="J75" i="8"/>
  <c r="J70" i="8"/>
  <c r="K72" i="8"/>
  <c r="J76" i="8"/>
  <c r="H77" i="8"/>
  <c r="H68" i="8"/>
  <c r="R74" i="8"/>
  <c r="I69" i="8"/>
  <c r="M75" i="8"/>
  <c r="R68" i="8"/>
  <c r="R76" i="8"/>
  <c r="H71" i="8"/>
  <c r="K74" i="8"/>
  <c r="G68" i="8"/>
  <c r="I74" i="8"/>
  <c r="J73" i="8"/>
  <c r="H72" i="8"/>
  <c r="R72" i="8"/>
  <c r="R77" i="8"/>
  <c r="R73" i="8"/>
  <c r="E11" i="4" l="1"/>
  <c r="E13" i="4" s="1"/>
  <c r="E15" i="4" s="1"/>
  <c r="A12" i="3"/>
  <c r="Q10" i="3"/>
  <c r="G80" i="8"/>
  <c r="G78" i="8"/>
  <c r="G12" i="3" s="1"/>
  <c r="G13" i="3" s="1"/>
  <c r="G11" i="4" s="1"/>
  <c r="G82" i="8"/>
  <c r="F13" i="3"/>
  <c r="Q19" i="4"/>
  <c r="E90" i="8"/>
  <c r="Q66" i="8"/>
  <c r="H82" i="8"/>
  <c r="H84" i="8"/>
  <c r="J87" i="8"/>
  <c r="I86" i="8"/>
  <c r="H88" i="8"/>
  <c r="F90" i="8"/>
  <c r="K84" i="8"/>
  <c r="H80" i="8"/>
  <c r="H78" i="8"/>
  <c r="M87" i="8"/>
  <c r="J85" i="8"/>
  <c r="H89" i="8"/>
  <c r="K86" i="8"/>
  <c r="I81" i="8"/>
  <c r="J82" i="8"/>
  <c r="J88" i="8"/>
  <c r="H83" i="8"/>
  <c r="K22" i="4"/>
  <c r="O22" i="4"/>
  <c r="L22" i="4"/>
  <c r="H22" i="4"/>
  <c r="E22" i="4"/>
  <c r="N22" i="4"/>
  <c r="P22" i="4"/>
  <c r="G22" i="4"/>
  <c r="J22" i="4"/>
  <c r="M22" i="4"/>
  <c r="I22" i="4"/>
  <c r="F22" i="4"/>
  <c r="K70" i="8"/>
  <c r="L74" i="8"/>
  <c r="I70" i="8"/>
  <c r="L72" i="8"/>
  <c r="J69" i="8"/>
  <c r="I71" i="8"/>
  <c r="I77" i="8"/>
  <c r="K73" i="8"/>
  <c r="M71" i="8"/>
  <c r="K76" i="8"/>
  <c r="N75" i="8"/>
  <c r="K71" i="8"/>
  <c r="I68" i="8"/>
  <c r="L71" i="8"/>
  <c r="R56" i="8" l="1"/>
  <c r="R65" i="8"/>
  <c r="R61" i="8"/>
  <c r="R57" i="8"/>
  <c r="R64" i="8"/>
  <c r="R58" i="8"/>
  <c r="R63" i="8"/>
  <c r="R62" i="8"/>
  <c r="R60" i="8"/>
  <c r="R59" i="8"/>
  <c r="F40" i="3"/>
  <c r="F11" i="4"/>
  <c r="G90" i="8"/>
  <c r="I82" i="8"/>
  <c r="G40" i="3"/>
  <c r="G13" i="4" s="1"/>
  <c r="G15" i="4" s="1"/>
  <c r="I80" i="8"/>
  <c r="L83" i="8"/>
  <c r="K83" i="8"/>
  <c r="L86" i="8"/>
  <c r="N87" i="8"/>
  <c r="K82" i="8"/>
  <c r="K85" i="8"/>
  <c r="I83" i="8"/>
  <c r="I78" i="8"/>
  <c r="I12" i="3" s="1"/>
  <c r="I89" i="8"/>
  <c r="M83" i="8"/>
  <c r="J81" i="8"/>
  <c r="K88" i="8"/>
  <c r="L84" i="8"/>
  <c r="H12" i="3"/>
  <c r="H90" i="8"/>
  <c r="Q22" i="4"/>
  <c r="R71" i="8"/>
  <c r="S75" i="8"/>
  <c r="M74" i="8"/>
  <c r="R70" i="8"/>
  <c r="R69" i="8"/>
  <c r="N71" i="8"/>
  <c r="S77" i="8"/>
  <c r="J68" i="8"/>
  <c r="J71" i="8"/>
  <c r="K69" i="8"/>
  <c r="S73" i="8"/>
  <c r="L73" i="8"/>
  <c r="L76" i="8"/>
  <c r="S74" i="8"/>
  <c r="J77" i="8"/>
  <c r="O75" i="8"/>
  <c r="S72" i="8"/>
  <c r="S76" i="8"/>
  <c r="M72" i="8"/>
  <c r="L70" i="8"/>
  <c r="H13" i="3" l="1"/>
  <c r="H40" i="3" s="1"/>
  <c r="I13" i="3"/>
  <c r="I11" i="4" s="1"/>
  <c r="R66" i="8"/>
  <c r="S61" i="8" s="1"/>
  <c r="J80" i="8"/>
  <c r="J83" i="8"/>
  <c r="I90" i="8"/>
  <c r="K81" i="8"/>
  <c r="J89" i="8"/>
  <c r="J78" i="8"/>
  <c r="O87" i="8"/>
  <c r="L85" i="8"/>
  <c r="N83" i="8"/>
  <c r="L88" i="8"/>
  <c r="M84" i="8"/>
  <c r="M86" i="8"/>
  <c r="L82" i="8"/>
  <c r="M73" i="8"/>
  <c r="N68" i="8"/>
  <c r="K68" i="8"/>
  <c r="M68" i="8"/>
  <c r="K77" i="8"/>
  <c r="M76" i="8"/>
  <c r="L69" i="8"/>
  <c r="N72" i="8"/>
  <c r="M70" i="8"/>
  <c r="P75" i="8"/>
  <c r="N74" i="8"/>
  <c r="O71" i="8"/>
  <c r="I40" i="3" l="1"/>
  <c r="H11" i="4"/>
  <c r="H13" i="4" s="1"/>
  <c r="H15" i="4" s="1"/>
  <c r="R55" i="8"/>
  <c r="S64" i="8"/>
  <c r="D64" i="8" s="1"/>
  <c r="S65" i="8"/>
  <c r="D65" i="8" s="1"/>
  <c r="S58" i="8"/>
  <c r="S62" i="8"/>
  <c r="D62" i="8" s="1"/>
  <c r="R67" i="8"/>
  <c r="S56" i="8"/>
  <c r="R9" i="3"/>
  <c r="S60" i="8"/>
  <c r="D60" i="8" s="1"/>
  <c r="S59" i="8"/>
  <c r="S63" i="8"/>
  <c r="D63" i="8" s="1"/>
  <c r="S57" i="8"/>
  <c r="M80" i="8"/>
  <c r="D61" i="8"/>
  <c r="K80" i="8"/>
  <c r="J90" i="8"/>
  <c r="N80" i="8"/>
  <c r="M85" i="8"/>
  <c r="K89" i="8"/>
  <c r="K78" i="8"/>
  <c r="K12" i="3" s="1"/>
  <c r="N84" i="8"/>
  <c r="O83" i="8"/>
  <c r="N86" i="8"/>
  <c r="M88" i="8"/>
  <c r="P87" i="8"/>
  <c r="Q75" i="8"/>
  <c r="L81" i="8"/>
  <c r="M82" i="8"/>
  <c r="J12" i="3"/>
  <c r="S70" i="8"/>
  <c r="O72" i="8"/>
  <c r="O74" i="8"/>
  <c r="T76" i="8"/>
  <c r="T72" i="8"/>
  <c r="T75" i="8"/>
  <c r="P69" i="8"/>
  <c r="N76" i="8"/>
  <c r="T74" i="8"/>
  <c r="N73" i="8"/>
  <c r="N70" i="8"/>
  <c r="S71" i="8"/>
  <c r="P71" i="8"/>
  <c r="T77" i="8"/>
  <c r="M69" i="8"/>
  <c r="O69" i="8"/>
  <c r="O68" i="8"/>
  <c r="T73" i="8"/>
  <c r="L68" i="8"/>
  <c r="S69" i="8"/>
  <c r="L77" i="8"/>
  <c r="K13" i="3" l="1"/>
  <c r="K11" i="4" s="1"/>
  <c r="J13" i="3"/>
  <c r="J40" i="3" s="1"/>
  <c r="R10" i="1"/>
  <c r="R22" i="4" s="1"/>
  <c r="R10" i="3"/>
  <c r="R19" i="4"/>
  <c r="R14" i="3"/>
  <c r="S66" i="8"/>
  <c r="T65" i="8" s="1"/>
  <c r="L80" i="8"/>
  <c r="K90" i="8"/>
  <c r="O80" i="8"/>
  <c r="P81" i="8"/>
  <c r="O81" i="8"/>
  <c r="R87" i="8"/>
  <c r="Q87" i="8"/>
  <c r="N88" i="8"/>
  <c r="L89" i="8"/>
  <c r="L78" i="8"/>
  <c r="M81" i="8"/>
  <c r="O86" i="8"/>
  <c r="P83" i="8"/>
  <c r="Q71" i="8"/>
  <c r="O84" i="8"/>
  <c r="N85" i="8"/>
  <c r="N82" i="8"/>
  <c r="S87" i="8"/>
  <c r="P68" i="8"/>
  <c r="P74" i="8"/>
  <c r="M77" i="8"/>
  <c r="O70" i="8"/>
  <c r="O76" i="8"/>
  <c r="O73" i="8"/>
  <c r="N69" i="8"/>
  <c r="P72" i="8"/>
  <c r="J11" i="4" l="1"/>
  <c r="J13" i="4" s="1"/>
  <c r="J15" i="4" s="1"/>
  <c r="K40" i="3"/>
  <c r="K13" i="4" s="1"/>
  <c r="K15" i="4" s="1"/>
  <c r="S55" i="8"/>
  <c r="T64" i="8"/>
  <c r="T57" i="8"/>
  <c r="D57" i="8" s="1"/>
  <c r="T62" i="8"/>
  <c r="T58" i="8"/>
  <c r="S67" i="8"/>
  <c r="T59" i="8"/>
  <c r="T63" i="8"/>
  <c r="S9" i="3"/>
  <c r="T10" i="1" s="1"/>
  <c r="S22" i="4" s="1"/>
  <c r="D22" i="4" s="1"/>
  <c r="T60" i="8"/>
  <c r="T61" i="8"/>
  <c r="T56" i="8"/>
  <c r="B68" i="8" s="1"/>
  <c r="L90" i="8"/>
  <c r="D56" i="8"/>
  <c r="D87" i="8"/>
  <c r="P80" i="8"/>
  <c r="Q68" i="8"/>
  <c r="O82" i="8"/>
  <c r="Q69" i="8"/>
  <c r="Q81" i="8" s="1"/>
  <c r="N81" i="8"/>
  <c r="S83" i="8"/>
  <c r="R83" i="8"/>
  <c r="R81" i="8"/>
  <c r="Q83" i="8"/>
  <c r="O85" i="8"/>
  <c r="P86" i="8"/>
  <c r="Q74" i="8"/>
  <c r="M89" i="8"/>
  <c r="M90" i="8" s="1"/>
  <c r="M78" i="8"/>
  <c r="M12" i="3" s="1"/>
  <c r="P84" i="8"/>
  <c r="Q72" i="8"/>
  <c r="O88" i="8"/>
  <c r="L12" i="3"/>
  <c r="T71" i="8"/>
  <c r="T69" i="8"/>
  <c r="P76" i="8"/>
  <c r="P77" i="8"/>
  <c r="N77" i="8"/>
  <c r="P73" i="8"/>
  <c r="T70" i="8"/>
  <c r="P70" i="8"/>
  <c r="D59" i="8" l="1"/>
  <c r="D58" i="8"/>
  <c r="M13" i="3"/>
  <c r="M11" i="4" s="1"/>
  <c r="L13" i="3"/>
  <c r="L40" i="3" s="1"/>
  <c r="S19" i="4"/>
  <c r="S10" i="3"/>
  <c r="S14" i="3"/>
  <c r="T66" i="8"/>
  <c r="T9" i="3" s="1"/>
  <c r="D9" i="3" s="1"/>
  <c r="Q70" i="8"/>
  <c r="Q82" i="8" s="1"/>
  <c r="P82" i="8"/>
  <c r="S81" i="8"/>
  <c r="S82" i="8"/>
  <c r="R82" i="8"/>
  <c r="R80" i="8"/>
  <c r="Q80" i="8"/>
  <c r="P89" i="8"/>
  <c r="S86" i="8"/>
  <c r="B75" i="8"/>
  <c r="R84" i="8"/>
  <c r="R86" i="8"/>
  <c r="B74" i="8"/>
  <c r="Q84" i="8"/>
  <c r="B72" i="8"/>
  <c r="Q86" i="8"/>
  <c r="P88" i="8"/>
  <c r="Q76" i="8"/>
  <c r="P85" i="8"/>
  <c r="Q73" i="8"/>
  <c r="P78" i="8"/>
  <c r="P12" i="3" s="1"/>
  <c r="T82" i="8"/>
  <c r="T83" i="8"/>
  <c r="D83" i="8" s="1"/>
  <c r="N89" i="8"/>
  <c r="N90" i="8" s="1"/>
  <c r="N78" i="8"/>
  <c r="N12" i="3" s="1"/>
  <c r="T87" i="8"/>
  <c r="T81" i="8"/>
  <c r="T86" i="8"/>
  <c r="O77" i="8"/>
  <c r="T68" i="8"/>
  <c r="S68" i="8"/>
  <c r="S80" i="8" l="1"/>
  <c r="D80" i="8" s="1"/>
  <c r="L11" i="4"/>
  <c r="M40" i="3"/>
  <c r="N13" i="3"/>
  <c r="N11" i="4" s="1"/>
  <c r="P13" i="3"/>
  <c r="D66" i="8"/>
  <c r="T67" i="8"/>
  <c r="T55" i="8"/>
  <c r="D81" i="8"/>
  <c r="M13" i="4"/>
  <c r="M15" i="4" s="1"/>
  <c r="T80" i="8"/>
  <c r="D86" i="8"/>
  <c r="D82" i="8"/>
  <c r="S84" i="8"/>
  <c r="D84" i="8" s="1"/>
  <c r="O78" i="8"/>
  <c r="O12" i="3" s="1"/>
  <c r="O89" i="8"/>
  <c r="O90" i="8" s="1"/>
  <c r="Q77" i="8"/>
  <c r="T88" i="8"/>
  <c r="T85" i="8"/>
  <c r="S88" i="8"/>
  <c r="S85" i="8"/>
  <c r="R88" i="8"/>
  <c r="R85" i="8"/>
  <c r="Q88" i="8"/>
  <c r="B76" i="8"/>
  <c r="Q85" i="8"/>
  <c r="B73" i="8"/>
  <c r="P90" i="8"/>
  <c r="T19" i="4"/>
  <c r="D19" i="4" s="1"/>
  <c r="T10" i="3"/>
  <c r="D10" i="3" s="1"/>
  <c r="V10" i="1"/>
  <c r="T22" i="4" s="1"/>
  <c r="T14" i="3"/>
  <c r="N40" i="3" l="1"/>
  <c r="O13" i="3"/>
  <c r="O11" i="4" s="1"/>
  <c r="N13" i="4"/>
  <c r="N15" i="4" s="1"/>
  <c r="D88" i="8"/>
  <c r="D85" i="8"/>
  <c r="T84" i="8"/>
  <c r="T78" i="8"/>
  <c r="T91" i="8" s="1" a="1"/>
  <c r="T91" i="8" s="1"/>
  <c r="T89" i="8"/>
  <c r="S89" i="8"/>
  <c r="S90" i="8" s="1"/>
  <c r="S78" i="8"/>
  <c r="S91" i="8" s="1" a="1"/>
  <c r="S91" i="8" s="1"/>
  <c r="B77" i="8"/>
  <c r="R78" i="8"/>
  <c r="R91" i="8" s="1" a="1"/>
  <c r="R91" i="8" s="1"/>
  <c r="R89" i="8"/>
  <c r="R90" i="8" s="1"/>
  <c r="Q89" i="8"/>
  <c r="Q78" i="8"/>
  <c r="Q91" i="8" s="1" a="1"/>
  <c r="Q91" i="8" s="1"/>
  <c r="Q90" i="8"/>
  <c r="O40" i="3" l="1"/>
  <c r="F20" i="4"/>
  <c r="E20" i="4"/>
  <c r="G20" i="4" s="1"/>
  <c r="G21" i="4" s="1"/>
  <c r="G23" i="4" s="1"/>
  <c r="G30" i="4" s="1"/>
  <c r="G35" i="4" s="1"/>
  <c r="H20" i="4"/>
  <c r="H21" i="4" s="1"/>
  <c r="H23" i="4" s="1"/>
  <c r="H30" i="4" s="1"/>
  <c r="H35" i="4" s="1"/>
  <c r="I20" i="4"/>
  <c r="J20" i="4"/>
  <c r="J21" i="4" s="1"/>
  <c r="J23" i="4" s="1"/>
  <c r="J30" i="4" s="1"/>
  <c r="J35" i="4" s="1"/>
  <c r="K20" i="4"/>
  <c r="K21" i="4" s="1"/>
  <c r="K23" i="4" s="1"/>
  <c r="K30" i="4" s="1"/>
  <c r="K35" i="4" s="1"/>
  <c r="M20" i="4"/>
  <c r="M21" i="4" s="1"/>
  <c r="M23" i="4" s="1"/>
  <c r="M30" i="4" s="1"/>
  <c r="M35" i="4" s="1"/>
  <c r="P20" i="4"/>
  <c r="O20" i="4"/>
  <c r="S79" i="8"/>
  <c r="R79" i="8"/>
  <c r="D89" i="8"/>
  <c r="D78" i="8"/>
  <c r="T90" i="8"/>
  <c r="T79" i="8" s="1"/>
  <c r="S12" i="3"/>
  <c r="T12" i="3"/>
  <c r="B78" i="8"/>
  <c r="B12" i="3" s="1"/>
  <c r="R12" i="3"/>
  <c r="C78" i="8" a="1"/>
  <c r="C78" i="8" s="1"/>
  <c r="C12" i="3" s="1"/>
  <c r="Q12" i="3"/>
  <c r="N20" i="4" l="1"/>
  <c r="N21" i="4" s="1"/>
  <c r="N23" i="4" s="1"/>
  <c r="N30" i="4" s="1"/>
  <c r="N35" i="4" s="1"/>
  <c r="L20" i="4"/>
  <c r="E21" i="4"/>
  <c r="E23" i="4" s="1"/>
  <c r="E30" i="4" s="1"/>
  <c r="E35" i="4" s="1"/>
  <c r="E36" i="4" s="1"/>
  <c r="E38" i="4" s="1"/>
  <c r="T20" i="4"/>
  <c r="R20" i="4"/>
  <c r="S20" i="4"/>
  <c r="D90" i="8"/>
  <c r="Q13" i="3"/>
  <c r="D12" i="3"/>
  <c r="Q36" i="3"/>
  <c r="P39" i="3"/>
  <c r="P11" i="4" s="1"/>
  <c r="Q20" i="4" l="1"/>
  <c r="D20" i="4" s="1"/>
  <c r="P40" i="3"/>
  <c r="Q40" i="3" s="1"/>
  <c r="Q39" i="3"/>
  <c r="R39" i="3"/>
  <c r="Q11" i="4" l="1"/>
  <c r="Q41" i="3"/>
  <c r="Q51" i="3" s="1"/>
  <c r="S39" i="3"/>
  <c r="T39" i="3"/>
  <c r="P13" i="4" l="1"/>
  <c r="P15" i="4" s="1"/>
  <c r="P21" i="4" s="1"/>
  <c r="P23" i="4" s="1"/>
  <c r="P30" i="4" s="1"/>
  <c r="P35" i="4" s="1"/>
  <c r="D39" i="3"/>
  <c r="I51" i="3" l="1"/>
  <c r="Q42" i="3"/>
  <c r="R50" i="3" s="1"/>
  <c r="O51" i="3"/>
  <c r="L51" i="3"/>
  <c r="F51" i="3"/>
  <c r="O42" i="3" l="1"/>
  <c r="O12" i="4" s="1"/>
  <c r="O13" i="4" s="1"/>
  <c r="O15" i="4" s="1"/>
  <c r="O21" i="4" s="1"/>
  <c r="O23" i="4" s="1"/>
  <c r="O30" i="4" s="1"/>
  <c r="O35" i="4" s="1"/>
  <c r="L42" i="3"/>
  <c r="L43" i="3" s="1"/>
  <c r="L44" i="3" s="1"/>
  <c r="I42" i="3"/>
  <c r="I12" i="4" s="1"/>
  <c r="I13" i="4" s="1"/>
  <c r="I15" i="4" s="1"/>
  <c r="I21" i="4" s="1"/>
  <c r="I23" i="4" s="1"/>
  <c r="I30" i="4" s="1"/>
  <c r="I35" i="4" s="1"/>
  <c r="F42" i="3"/>
  <c r="F52" i="3" s="1"/>
  <c r="Q43" i="3"/>
  <c r="O43" i="3" l="1"/>
  <c r="O44" i="3" s="1"/>
  <c r="F12" i="4"/>
  <c r="F13" i="4" s="1"/>
  <c r="F15" i="4" s="1"/>
  <c r="F21" i="4" s="1"/>
  <c r="F23" i="4" s="1"/>
  <c r="F30" i="4" s="1"/>
  <c r="F35" i="4" s="1"/>
  <c r="F36" i="4" s="1"/>
  <c r="L12" i="4"/>
  <c r="L13" i="4" s="1"/>
  <c r="L15" i="4" s="1"/>
  <c r="L21" i="4" s="1"/>
  <c r="L23" i="4" s="1"/>
  <c r="L30" i="4" s="1"/>
  <c r="L35" i="4" s="1"/>
  <c r="I43" i="3"/>
  <c r="I44" i="3" s="1"/>
  <c r="I52" i="3"/>
  <c r="L52" i="3" s="1"/>
  <c r="O52" i="3" s="1"/>
  <c r="Q52" i="3" s="1"/>
  <c r="R45" i="3"/>
  <c r="F43" i="3"/>
  <c r="F44" i="3" s="1"/>
  <c r="Q53" i="3"/>
  <c r="Q44" i="3"/>
  <c r="Q12" i="4" l="1"/>
  <c r="R47" i="3"/>
  <c r="F49" i="3"/>
  <c r="I49" i="3" s="1"/>
  <c r="L49" i="3" s="1"/>
  <c r="O49" i="3" s="1"/>
  <c r="Q49" i="3" s="1"/>
  <c r="G36" i="4"/>
  <c r="F38" i="4"/>
  <c r="Q13" i="4" l="1"/>
  <c r="R48" i="3"/>
  <c r="G38" i="4"/>
  <c r="H36" i="4"/>
  <c r="Q15" i="4" l="1"/>
  <c r="I36" i="4"/>
  <c r="H38" i="4"/>
  <c r="Q21" i="4" l="1"/>
  <c r="I38" i="4"/>
  <c r="J36" i="4"/>
  <c r="Q23" i="4" l="1"/>
  <c r="J38" i="4"/>
  <c r="K36" i="4"/>
  <c r="Q30" i="4" l="1"/>
  <c r="L36" i="4"/>
  <c r="K38" i="4"/>
  <c r="Q35" i="4" l="1"/>
  <c r="M36" i="4"/>
  <c r="L38" i="4"/>
  <c r="M38" i="4" l="1"/>
  <c r="N36" i="4"/>
  <c r="N38" i="4" l="1"/>
  <c r="O36" i="4"/>
  <c r="P36" i="4" l="1"/>
  <c r="O38" i="4"/>
  <c r="Q36" i="4" l="1"/>
  <c r="P38" i="4"/>
  <c r="Q38" i="4" l="1"/>
  <c r="R13" i="3" l="1"/>
  <c r="S11" i="3"/>
  <c r="T11" i="3" s="1"/>
  <c r="R16" i="4"/>
  <c r="S13" i="3" l="1"/>
  <c r="S40" i="3" s="1"/>
  <c r="D11" i="3"/>
  <c r="S16" i="4"/>
  <c r="D16" i="4" s="1"/>
  <c r="R40" i="3"/>
  <c r="T13" i="3"/>
  <c r="T40" i="3" s="1"/>
  <c r="T16" i="4"/>
  <c r="S11" i="4" l="1"/>
  <c r="R11" i="4"/>
  <c r="D13" i="3"/>
  <c r="D40" i="3"/>
  <c r="R41" i="3"/>
  <c r="R51" i="3" s="1"/>
  <c r="T11" i="4"/>
  <c r="S41" i="3" l="1"/>
  <c r="T41" i="3" s="1"/>
  <c r="D11" i="4"/>
  <c r="R42" i="3"/>
  <c r="S51" i="3" l="1"/>
  <c r="S42" i="3" s="1"/>
  <c r="T51" i="3" s="1"/>
  <c r="T42" i="3" s="1"/>
  <c r="T43" i="3" s="1"/>
  <c r="T44" i="3" s="1"/>
  <c r="D41" i="3"/>
  <c r="R12" i="4"/>
  <c r="R52" i="3"/>
  <c r="R43" i="3"/>
  <c r="S50" i="3"/>
  <c r="S52" i="3" l="1"/>
  <c r="T52" i="3" s="1"/>
  <c r="S43" i="3"/>
  <c r="S44" i="3" s="1"/>
  <c r="S12" i="4"/>
  <c r="S13" i="4" s="1"/>
  <c r="S15" i="4" s="1"/>
  <c r="S21" i="4" s="1"/>
  <c r="S23" i="4" s="1"/>
  <c r="S30" i="4" s="1"/>
  <c r="S35" i="4" s="1"/>
  <c r="T50" i="3"/>
  <c r="D42" i="3"/>
  <c r="T12" i="4"/>
  <c r="T13" i="4" s="1"/>
  <c r="T15" i="4" s="1"/>
  <c r="T21" i="4" s="1"/>
  <c r="T23" i="4" s="1"/>
  <c r="T30" i="4" s="1"/>
  <c r="T35" i="4" s="1"/>
  <c r="R49" i="3"/>
  <c r="R44" i="3"/>
  <c r="S45" i="3"/>
  <c r="T45" i="3" s="1"/>
  <c r="R53" i="3"/>
  <c r="R13" i="4"/>
  <c r="D43" i="3" l="1"/>
  <c r="D44" i="3"/>
  <c r="D12" i="4"/>
  <c r="T47" i="3"/>
  <c r="T48" i="3" s="1"/>
  <c r="T53" i="3"/>
  <c r="R15" i="4"/>
  <c r="D13" i="4"/>
  <c r="D45" i="3"/>
  <c r="S47" i="3"/>
  <c r="D47" i="3" s="1"/>
  <c r="S53" i="3"/>
  <c r="S49" i="3"/>
  <c r="T49" i="3" s="1"/>
  <c r="D49" i="3" s="1"/>
  <c r="S48" i="3" l="1"/>
  <c r="D48" i="3" s="1"/>
  <c r="R21" i="4"/>
  <c r="D15" i="4"/>
  <c r="D21" i="4" l="1"/>
  <c r="R23" i="4"/>
  <c r="R30" i="4" l="1"/>
  <c r="D23" i="4"/>
  <c r="R35" i="4" l="1"/>
  <c r="D30" i="4"/>
  <c r="R36" i="4" l="1"/>
  <c r="D35" i="4"/>
  <c r="R38" i="4" l="1"/>
  <c r="S36" i="4"/>
  <c r="T36" i="4" l="1"/>
  <c r="S38" i="4"/>
  <c r="T38" i="4" l="1"/>
  <c r="D38" i="4" s="1"/>
  <c r="D3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Pfaffel, Peter</author>
  </authors>
  <commentList>
    <comment ref="C54" authorId="0" shapeId="0" xr:uid="{00000000-0006-0000-0100-000001000000}">
      <text>
        <r>
          <rPr>
            <b/>
            <sz val="10"/>
            <color indexed="81"/>
            <rFont val="Arial"/>
            <family val="2"/>
          </rPr>
          <t>Durchschnittssteuersatz
für sämtliche Umsätze</t>
        </r>
      </text>
    </comment>
    <comment ref="B68" authorId="0" shapeId="0" xr:uid="{00000000-0006-0000-0100-000002000000}">
      <text>
        <r>
          <rPr>
            <b/>
            <sz val="10"/>
            <color indexed="81"/>
            <rFont val="Arial"/>
            <family val="2"/>
          </rPr>
          <t>Anteil vom Nettoumsatz</t>
        </r>
      </text>
    </comment>
    <comment ref="B78" authorId="0" shapeId="0" xr:uid="{00000000-0006-0000-0100-000003000000}">
      <text>
        <r>
          <rPr>
            <b/>
            <sz val="10"/>
            <color indexed="81"/>
            <rFont val="Arial"/>
            <family val="2"/>
          </rPr>
          <t>Durchschnittlicher Waren-/Materialeinsatz</t>
        </r>
      </text>
    </comment>
    <comment ref="C78" authorId="0" shapeId="0" xr:uid="{00000000-0006-0000-0100-000004000000}">
      <text>
        <r>
          <rPr>
            <b/>
            <sz val="10"/>
            <color indexed="81"/>
            <rFont val="Arial"/>
            <family val="2"/>
          </rPr>
          <t>Durchschnittssteuersatz
für sämtliche
Waren-/Materialeinsätze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Pfaffel, Peter</author>
  </authors>
  <commentList>
    <comment ref="C9" authorId="0" shapeId="0" xr:uid="{00000000-0006-0000-0200-000001000000}">
      <text>
        <r>
          <rPr>
            <b/>
            <sz val="10"/>
            <color indexed="81"/>
            <rFont val="Arial"/>
            <family val="2"/>
          </rPr>
          <t>Durchschnittssteuersatz
für sämtliche Umsätze</t>
        </r>
      </text>
    </comment>
    <comment ref="B12" authorId="0" shapeId="0" xr:uid="{00000000-0006-0000-0200-000002000000}">
      <text>
        <r>
          <rPr>
            <b/>
            <sz val="10"/>
            <color indexed="81"/>
            <rFont val="Arial"/>
            <family val="2"/>
          </rPr>
          <t>Anteil vom Nettoumsatz</t>
        </r>
      </text>
    </comment>
    <comment ref="C12" authorId="0" shapeId="0" xr:uid="{00000000-0006-0000-0200-000003000000}">
      <text>
        <r>
          <rPr>
            <b/>
            <sz val="10"/>
            <color indexed="81"/>
            <rFont val="Arial"/>
            <family val="2"/>
          </rPr>
          <t>Durchschnittssteuersatz
für sämtliche
Waren-/Materialeinsätze</t>
        </r>
      </text>
    </comment>
    <comment ref="B40" authorId="0" shapeId="0" xr:uid="{1037D5E2-02EB-48DA-B761-87B6B851E0F1}">
      <text>
        <r>
          <rPr>
            <b/>
            <sz val="10"/>
            <color indexed="81"/>
            <rFont val="Arial"/>
            <family val="2"/>
          </rPr>
          <t>Vortragsfähige Vorjahresverluste</t>
        </r>
      </text>
    </comment>
    <comment ref="B49" authorId="0" shapeId="0" xr:uid="{7A2815C3-D07B-4B54-8413-257C94768B35}">
      <text>
        <r>
          <rPr>
            <b/>
            <sz val="10"/>
            <color indexed="81"/>
            <rFont val="Arial"/>
            <family val="2"/>
          </rPr>
          <t>Vorjahressumme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Pfaffel, Peter</author>
  </authors>
  <commentList>
    <comment ref="B28" authorId="0" shapeId="0" xr:uid="{F53C0364-F425-4165-A068-FD8B871A364A}">
      <text>
        <r>
          <rPr>
            <b/>
            <sz val="10"/>
            <color indexed="81"/>
            <rFont val="Arial"/>
            <family val="2"/>
          </rPr>
          <t>Effektivzinssatz</t>
        </r>
      </text>
    </comment>
    <comment ref="C28" authorId="0" shapeId="0" xr:uid="{5CCE729F-42B4-4DC1-A987-9C03B2C7F0F4}">
      <text>
        <r>
          <rPr>
            <b/>
            <sz val="10"/>
            <color indexed="81"/>
            <rFont val="Arial"/>
            <family val="2"/>
          </rPr>
          <t>Tilgungszeitraum in Jahren</t>
        </r>
      </text>
    </comment>
    <comment ref="B36" authorId="0" shapeId="0" xr:uid="{187354C5-79FA-424D-ADA4-D219788C7945}">
      <text>
        <r>
          <rPr>
            <b/>
            <sz val="10"/>
            <color indexed="81"/>
            <rFont val="Arial"/>
            <family val="2"/>
          </rPr>
          <t xml:space="preserve">
Vorjahreswert</t>
        </r>
      </text>
    </comment>
  </commentList>
</comments>
</file>

<file path=xl/sharedStrings.xml><?xml version="1.0" encoding="utf-8"?>
<sst xmlns="http://schemas.openxmlformats.org/spreadsheetml/2006/main" count="120" uniqueCount="111">
  <si>
    <t>Investitionen</t>
  </si>
  <si>
    <t>Büroeinrichtung</t>
  </si>
  <si>
    <t>Büromaschinen</t>
  </si>
  <si>
    <t>Computer</t>
  </si>
  <si>
    <t>Umsatzerlöse netto</t>
  </si>
  <si>
    <t>ND</t>
  </si>
  <si>
    <t>Raumkosten (Miete, Heizung, etc. . .)</t>
  </si>
  <si>
    <t>Reparaturkosten</t>
  </si>
  <si>
    <t>Steuerberatung</t>
  </si>
  <si>
    <t>Weiterbildung</t>
  </si>
  <si>
    <t>Investitionsplan</t>
  </si>
  <si>
    <t>Umsatzerlöse brutto</t>
  </si>
  <si>
    <t>Summe</t>
  </si>
  <si>
    <t>Rechtsberatung</t>
  </si>
  <si>
    <t>Abschreibungen</t>
  </si>
  <si>
    <t>Hilfs- und Betriebsstoffe</t>
  </si>
  <si>
    <t>PKW/Kombi</t>
  </si>
  <si>
    <t>Gebäude</t>
  </si>
  <si>
    <t>Personalkosten (brutto)</t>
  </si>
  <si>
    <t>Finanzierungsplan</t>
  </si>
  <si>
    <t>Werbung</t>
  </si>
  <si>
    <t>Kreditraten</t>
  </si>
  <si>
    <t>Ergebnis vor Steuer</t>
  </si>
  <si>
    <t>Zeitwert</t>
  </si>
  <si>
    <t>(R)ND</t>
  </si>
  <si>
    <t>(VJ)Investitionen</t>
  </si>
  <si>
    <t>Fremdkapitalkosten (Zinsen, Spesen, etc.)</t>
  </si>
  <si>
    <t>Restwert</t>
  </si>
  <si>
    <t>Monat</t>
  </si>
  <si>
    <t>Jahr</t>
  </si>
  <si>
    <t>JA</t>
  </si>
  <si>
    <t>NEIN</t>
  </si>
  <si>
    <t>Mittelherkunft</t>
  </si>
  <si>
    <t>VSt.</t>
  </si>
  <si>
    <t>USt.</t>
  </si>
  <si>
    <t>Privat</t>
  </si>
  <si>
    <t>Finanzüber-/-unterdeckung</t>
  </si>
  <si>
    <t>Kumuliert</t>
  </si>
  <si>
    <t>Liquidität Betrieb</t>
  </si>
  <si>
    <t>Unternehmensstart</t>
  </si>
  <si>
    <t>Verfasser</t>
  </si>
  <si>
    <t>Datum</t>
  </si>
  <si>
    <t>Version</t>
  </si>
  <si>
    <t>Planwerte in EUR</t>
  </si>
  <si>
    <t>Abschreibungen / Vorjahresinvestitionen</t>
  </si>
  <si>
    <t>Kreditrahmen-Ausschöpfung</t>
  </si>
  <si>
    <t>Gesamtdeckung &gt; = 0</t>
  </si>
  <si>
    <t>Eigenmittel / Zuschüsse</t>
  </si>
  <si>
    <t>Mitarbeiter 1  (brutto)</t>
  </si>
  <si>
    <t>Mitarbeiter 2  (brutto)</t>
  </si>
  <si>
    <t>Mitarbeiter 3  (brutto)</t>
  </si>
  <si>
    <t>Investitionen (inkl. USt.)</t>
  </si>
  <si>
    <t>Private Ausgaben / Einnahmen</t>
  </si>
  <si>
    <t>Anrechenbarer Verlustvortrag</t>
  </si>
  <si>
    <t>Laufende betriebliche Aufwände</t>
  </si>
  <si>
    <t>Summe lfd. Aufwände</t>
  </si>
  <si>
    <t>Büromaterial (Papier, Ordner, Druckpatron.)</t>
  </si>
  <si>
    <t>Lager-/Schauraumware</t>
  </si>
  <si>
    <t>Sonstige Ausgaben / Einnahmen</t>
  </si>
  <si>
    <t>Umsatzsteuer</t>
  </si>
  <si>
    <t>Firma</t>
  </si>
  <si>
    <t>Absatzplanung</t>
  </si>
  <si>
    <t>Absatzmengen</t>
  </si>
  <si>
    <t>USt</t>
  </si>
  <si>
    <t>Waren-/Materialeinsatz</t>
  </si>
  <si>
    <t>Summe Waren/Material</t>
  </si>
  <si>
    <t>Summe Roherträge (bzw. Bruttogewinn)</t>
  </si>
  <si>
    <t>Cashflow nach Investitionen</t>
  </si>
  <si>
    <t>Cashflow lfd. Betrieb</t>
  </si>
  <si>
    <t>KöSt  für das jew. Geschäftsjahr</t>
  </si>
  <si>
    <t>KöSt-Rückstand/-Guthaben kum.</t>
  </si>
  <si>
    <t>Erwartete KöSt-Vorschreibung/-Nachzahlung</t>
  </si>
  <si>
    <t>Körperschaftst.-Vorschreibung/-Nachzahlung</t>
  </si>
  <si>
    <t>Bilanzergebnis</t>
  </si>
  <si>
    <t>Beschlossene Gewinnausschüttung</t>
  </si>
  <si>
    <t>Kapitalertragsteuer</t>
  </si>
  <si>
    <t>Maximal mögliche Gewinnausschüttung</t>
  </si>
  <si>
    <r>
      <rPr>
        <b/>
        <sz val="10"/>
        <rFont val="Calibri"/>
        <family val="2"/>
      </rPr>
      <t>Ø E</t>
    </r>
    <r>
      <rPr>
        <b/>
        <sz val="10"/>
        <rFont val="Arial"/>
        <family val="2"/>
      </rPr>
      <t>rgebnis / Monat</t>
    </r>
  </si>
  <si>
    <t>Gewinnausschüttung</t>
  </si>
  <si>
    <t>Periodenergebnis</t>
  </si>
  <si>
    <t>Basisdaten</t>
  </si>
  <si>
    <t>Bilanzierungsmonat</t>
  </si>
  <si>
    <t>Geschäftsführer 1 (GSVG)</t>
  </si>
  <si>
    <t>Geschäftsführer 2 (GSVG)</t>
  </si>
  <si>
    <t>Bestandsveränderungen</t>
  </si>
  <si>
    <t>Plan-Gewinn- und Verlustrechnung</t>
  </si>
  <si>
    <t>USt  - Kleinunternehmer/-Befreiung</t>
  </si>
  <si>
    <t>Grundstück (umsatzsteuerfrei)</t>
  </si>
  <si>
    <t>Rohertrag (Bruttogewinn) inkl. Best.ver.</t>
  </si>
  <si>
    <t>Kredit Betrieb 1</t>
  </si>
  <si>
    <t>Kredit Betrieb 2</t>
  </si>
  <si>
    <t>Betriebliche Versicherungen (ohne 20% USt)</t>
  </si>
  <si>
    <t>Gebühren und Beiträge (ohne 20% USt)</t>
  </si>
  <si>
    <t>Periodenbilanzergebnis</t>
  </si>
  <si>
    <t>Bruttoverkaufspreise/-monatsumsätze</t>
  </si>
  <si>
    <t>Telefon/ Handy/ Internet</t>
  </si>
  <si>
    <t>Ø+/-/J</t>
  </si>
  <si>
    <t>+/-</t>
  </si>
  <si>
    <t>G-26.5.2</t>
  </si>
  <si>
    <t>Hr. Fehringer</t>
  </si>
  <si>
    <t>Reisekosten: Km-Geld (ohne 20% USt) EUR 0,50/km</t>
  </si>
  <si>
    <t>Softwarekosten</t>
  </si>
  <si>
    <t>Fremdleistungen / Partnerleistungen</t>
  </si>
  <si>
    <t>Geringwertige Wirtschaftsgüter Invest bis 1.000,-</t>
  </si>
  <si>
    <t>PreeSeed</t>
  </si>
  <si>
    <t>Pilotprojekt</t>
  </si>
  <si>
    <t>Starter Abo</t>
  </si>
  <si>
    <t>Professional Abo</t>
  </si>
  <si>
    <t xml:space="preserve">Enterprise Abo </t>
  </si>
  <si>
    <t>ANAMNIC GmbH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</si>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</sst>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#,##0_ ;[Red]\-#,##0\ "/>
    <numFmt numFmtId="166" formatCode="dd/mm/yyyy;@"/>
    <numFmt numFmtId="167" formatCode="yyyy"/>
    <numFmt numFmtId="168" formatCode="00"/>
    <numFmt numFmtId="169" formatCode="0.0%"/>
    <numFmt numFmtId="170" formatCode="\+0%;[Red]\-0%"/>
    <numFmt numFmtId="171" formatCode="[Red]\+0%;\-0%"/>
  </numFmts>
  <fonts count="2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6"/>
      <name val="Tahoma"/>
      <family val="2"/>
    </font>
    <font>
      <sz val="12"/>
      <name val="Arial"/>
      <family val="2"/>
    </font>
    <font>
      <b/>
      <sz val="16"/>
      <name val="Tahoma"/>
      <family val="2"/>
    </font>
    <font>
      <b/>
      <sz val="16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81"/>
      <name val="Arial"/>
      <family val="2"/>
    </font>
    <font>
      <sz val="9"/>
      <name val="Arial"/>
      <family val="2"/>
    </font>
    <font>
      <b/>
      <sz val="10"/>
      <name val="Wingdings"/>
      <charset val="2"/>
    </font>
    <font>
      <sz val="10"/>
      <name val="Wingdings"/>
      <charset val="2"/>
    </font>
    <font>
      <b/>
      <sz val="10"/>
      <name val="Calibri"/>
      <family val="2"/>
    </font>
    <font>
      <b/>
      <sz val="12"/>
      <color theme="3"/>
      <name val="Arial"/>
      <family val="2"/>
    </font>
    <font>
      <sz val="10"/>
      <color theme="3"/>
      <name val="Arial"/>
      <family val="2"/>
    </font>
    <font>
      <sz val="10"/>
      <color theme="0"/>
      <name val="Arial"/>
      <family val="2"/>
    </font>
    <font>
      <b/>
      <sz val="16"/>
      <color theme="3"/>
      <name val="Arial"/>
      <family val="2"/>
    </font>
    <font>
      <b/>
      <sz val="10"/>
      <color theme="3"/>
      <name val="Arial"/>
      <family val="2"/>
    </font>
    <font>
      <b/>
      <sz val="11"/>
      <color theme="3"/>
      <name val="Arial"/>
      <family val="2"/>
    </font>
    <font>
      <sz val="11"/>
      <color theme="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medium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 style="medium">
        <color theme="4"/>
      </left>
      <right style="thin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thin">
        <color theme="4"/>
      </bottom>
      <diagonal/>
    </border>
    <border>
      <left/>
      <right style="medium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thin">
        <color theme="4"/>
      </right>
      <top style="medium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medium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 style="medium">
        <color theme="4"/>
      </right>
      <top style="thin">
        <color theme="4"/>
      </top>
      <bottom style="medium">
        <color theme="4"/>
      </bottom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/>
      <top/>
      <bottom style="medium">
        <color theme="4"/>
      </bottom>
      <diagonal/>
    </border>
    <border>
      <left/>
      <right style="thin">
        <color theme="4"/>
      </right>
      <top/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/>
      <bottom style="thin">
        <color theme="4"/>
      </bottom>
      <diagonal/>
    </border>
    <border>
      <left/>
      <right style="medium">
        <color theme="4"/>
      </right>
      <top/>
      <bottom style="thin">
        <color theme="4"/>
      </bottom>
      <diagonal/>
    </border>
    <border>
      <left style="thin">
        <color theme="4"/>
      </left>
      <right style="medium">
        <color theme="4"/>
      </right>
      <top/>
      <bottom style="thin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thin">
        <color theme="4"/>
      </right>
      <top style="medium">
        <color theme="4"/>
      </top>
      <bottom/>
      <diagonal/>
    </border>
    <border>
      <left style="thin">
        <color theme="4"/>
      </left>
      <right style="medium">
        <color theme="4"/>
      </right>
      <top style="medium">
        <color theme="4"/>
      </top>
      <bottom/>
      <diagonal/>
    </border>
    <border>
      <left style="thin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/>
      <bottom style="thin">
        <color theme="4"/>
      </bottom>
      <diagonal/>
    </border>
    <border>
      <left style="medium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 style="medium">
        <color theme="4"/>
      </left>
      <right style="medium">
        <color theme="4"/>
      </right>
      <top style="thin">
        <color theme="4"/>
      </top>
      <bottom/>
      <diagonal/>
    </border>
    <border>
      <left style="medium">
        <color theme="4"/>
      </left>
      <right style="medium">
        <color theme="4"/>
      </right>
      <top style="thin">
        <color theme="4"/>
      </top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 style="thin">
        <color theme="4"/>
      </bottom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 style="medium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 style="thin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thin">
        <color theme="4"/>
      </bottom>
      <diagonal/>
    </border>
    <border>
      <left style="thin">
        <color theme="4"/>
      </left>
      <right style="medium">
        <color theme="4"/>
      </right>
      <top style="thin">
        <color theme="4"/>
      </top>
      <bottom/>
      <diagonal/>
    </border>
  </borders>
  <cellStyleXfs count="1">
    <xf numFmtId="0" fontId="0" fillId="0" borderId="0"/>
  </cellStyleXfs>
  <cellXfs count="385">
    <xf numFmtId="0" fontId="0" fillId="0" borderId="0" xfId="0"/>
    <xf numFmtId="0" fontId="1" fillId="3" borderId="0" xfId="0" applyFont="1" applyFill="1" applyAlignment="1" applyProtection="1">
      <alignment horizontal="center"/>
      <protection locked="0"/>
    </xf>
    <xf numFmtId="166" fontId="1" fillId="3" borderId="0" xfId="0" applyNumberFormat="1" applyFont="1" applyFill="1" applyAlignment="1" applyProtection="1">
      <alignment horizontal="center"/>
      <protection locked="0"/>
    </xf>
    <xf numFmtId="3" fontId="11" fillId="3" borderId="1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2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3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4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5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6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7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8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9" xfId="0" applyNumberFormat="1" applyFont="1" applyFill="1" applyBorder="1" applyAlignment="1" applyProtection="1">
      <alignment horizontal="right" vertical="center" wrapText="1"/>
      <protection locked="0"/>
    </xf>
    <xf numFmtId="3" fontId="11" fillId="3" borderId="10" xfId="0" applyNumberFormat="1" applyFont="1" applyFill="1" applyBorder="1" applyAlignment="1" applyProtection="1">
      <alignment horizontal="right" vertical="center" wrapText="1"/>
      <protection locked="0"/>
    </xf>
    <xf numFmtId="0" fontId="11" fillId="3" borderId="4" xfId="0" applyFont="1" applyFill="1" applyBorder="1" applyAlignment="1" applyProtection="1">
      <alignment vertical="center"/>
      <protection locked="0"/>
    </xf>
    <xf numFmtId="3" fontId="11" fillId="3" borderId="5" xfId="0" applyNumberFormat="1" applyFont="1" applyFill="1" applyBorder="1" applyAlignment="1" applyProtection="1">
      <alignment horizontal="right" vertical="center"/>
      <protection locked="0"/>
    </xf>
    <xf numFmtId="164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3" fontId="11" fillId="3" borderId="2" xfId="0" applyNumberFormat="1" applyFont="1" applyFill="1" applyBorder="1" applyAlignment="1" applyProtection="1">
      <alignment horizontal="right" vertical="center"/>
      <protection locked="0"/>
    </xf>
    <xf numFmtId="164" fontId="1" fillId="3" borderId="9" xfId="0" applyNumberFormat="1" applyFont="1" applyFill="1" applyBorder="1" applyAlignment="1" applyProtection="1">
      <alignment horizontal="center" vertical="center" wrapText="1"/>
      <protection locked="0"/>
    </xf>
    <xf numFmtId="164" fontId="11" fillId="3" borderId="9" xfId="0" applyNumberFormat="1" applyFont="1" applyFill="1" applyBorder="1" applyAlignment="1" applyProtection="1">
      <alignment horizontal="center" vertical="center" wrapText="1"/>
      <protection locked="0"/>
    </xf>
    <xf numFmtId="3" fontId="2" fillId="3" borderId="1" xfId="0" applyNumberFormat="1" applyFont="1" applyFill="1" applyBorder="1" applyAlignment="1" applyProtection="1">
      <alignment horizontal="right" vertical="center"/>
      <protection locked="0"/>
    </xf>
    <xf numFmtId="3" fontId="2" fillId="3" borderId="2" xfId="0" applyNumberFormat="1" applyFont="1" applyFill="1" applyBorder="1" applyAlignment="1" applyProtection="1">
      <alignment horizontal="right" vertical="center"/>
      <protection locked="0"/>
    </xf>
    <xf numFmtId="3" fontId="2" fillId="3" borderId="9" xfId="0" applyNumberFormat="1" applyFont="1" applyFill="1" applyBorder="1" applyAlignment="1" applyProtection="1">
      <alignment horizontal="right" vertical="center"/>
      <protection locked="0"/>
    </xf>
    <xf numFmtId="3" fontId="3" fillId="3" borderId="11" xfId="0" applyNumberFormat="1" applyFont="1" applyFill="1" applyBorder="1" applyAlignment="1" applyProtection="1">
      <alignment horizontal="right" vertical="center"/>
      <protection locked="0"/>
    </xf>
    <xf numFmtId="10" fontId="2" fillId="3" borderId="2" xfId="0" applyNumberFormat="1" applyFont="1" applyFill="1" applyBorder="1" applyAlignment="1" applyProtection="1">
      <alignment horizontal="center" vertical="center"/>
      <protection locked="0"/>
    </xf>
    <xf numFmtId="168" fontId="1" fillId="3" borderId="0" xfId="0" applyNumberFormat="1" applyFont="1" applyFill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3" fontId="3" fillId="3" borderId="11" xfId="0" applyNumberFormat="1" applyFont="1" applyFill="1" applyBorder="1" applyAlignment="1" applyProtection="1">
      <alignment vertical="center"/>
      <protection locked="0"/>
    </xf>
    <xf numFmtId="9" fontId="11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left"/>
      <protection locked="0"/>
    </xf>
    <xf numFmtId="1" fontId="2" fillId="3" borderId="9" xfId="0" applyNumberFormat="1" applyFont="1" applyFill="1" applyBorder="1" applyAlignment="1" applyProtection="1">
      <alignment horizontal="center" vertical="center"/>
      <protection locked="0"/>
    </xf>
    <xf numFmtId="3" fontId="11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11" fillId="3" borderId="1" xfId="0" applyFont="1" applyFill="1" applyBorder="1" applyAlignment="1" applyProtection="1">
      <alignment vertical="center"/>
      <protection locked="0"/>
    </xf>
    <xf numFmtId="3" fontId="10" fillId="3" borderId="12" xfId="0" applyNumberFormat="1" applyFont="1" applyFill="1" applyBorder="1" applyAlignment="1" applyProtection="1">
      <alignment horizontal="right" vertical="center" wrapText="1"/>
      <protection locked="0"/>
    </xf>
    <xf numFmtId="3" fontId="3" fillId="3" borderId="12" xfId="0" applyNumberFormat="1" applyFont="1" applyFill="1" applyBorder="1" applyAlignment="1" applyProtection="1">
      <alignment horizontal="right" vertical="center" wrapText="1"/>
      <protection locked="0"/>
    </xf>
    <xf numFmtId="0" fontId="18" fillId="0" borderId="0" xfId="0" applyFont="1" applyAlignment="1" applyProtection="1">
      <alignment horizontal="left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168" fontId="20" fillId="0" borderId="0" xfId="0" applyNumberFormat="1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hidden="1"/>
    </xf>
    <xf numFmtId="0" fontId="19" fillId="0" borderId="0" xfId="0" applyFont="1" applyAlignment="1" applyProtection="1">
      <alignment horizontal="center"/>
      <protection hidden="1"/>
    </xf>
    <xf numFmtId="0" fontId="20" fillId="0" borderId="0" xfId="0" applyFont="1" applyProtection="1">
      <protection hidden="1"/>
    </xf>
    <xf numFmtId="0" fontId="14" fillId="0" borderId="0" xfId="0" applyFont="1" applyAlignment="1" applyProtection="1">
      <alignment horizontal="left"/>
      <protection hidden="1"/>
    </xf>
    <xf numFmtId="14" fontId="1" fillId="0" borderId="0" xfId="0" applyNumberFormat="1" applyFont="1" applyAlignment="1" applyProtection="1">
      <alignment horizontal="center"/>
      <protection hidden="1"/>
    </xf>
    <xf numFmtId="167" fontId="19" fillId="0" borderId="0" xfId="0" applyNumberFormat="1" applyFont="1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3" fontId="1" fillId="0" borderId="0" xfId="0" applyNumberFormat="1" applyFont="1" applyAlignment="1" applyProtection="1">
      <alignment horizontal="center" vertical="center"/>
      <protection hidden="1"/>
    </xf>
    <xf numFmtId="3" fontId="22" fillId="0" borderId="0" xfId="0" applyNumberFormat="1" applyFont="1" applyAlignment="1" applyProtection="1">
      <alignment horizontal="right" vertical="center"/>
      <protection hidden="1"/>
    </xf>
    <xf numFmtId="3" fontId="22" fillId="0" borderId="0" xfId="0" applyNumberFormat="1" applyFont="1" applyAlignment="1" applyProtection="1">
      <alignment horizontal="center" vertical="center"/>
      <protection hidden="1"/>
    </xf>
    <xf numFmtId="3" fontId="10" fillId="0" borderId="0" xfId="0" applyNumberFormat="1" applyFont="1" applyAlignment="1" applyProtection="1">
      <alignment horizontal="center" vertical="center"/>
      <protection hidden="1"/>
    </xf>
    <xf numFmtId="3" fontId="11" fillId="0" borderId="0" xfId="0" applyNumberFormat="1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vertical="center"/>
      <protection hidden="1"/>
    </xf>
    <xf numFmtId="3" fontId="23" fillId="0" borderId="13" xfId="0" applyNumberFormat="1" applyFont="1" applyBorder="1" applyAlignment="1" applyProtection="1">
      <alignment horizontal="center" vertical="center" wrapText="1"/>
      <protection hidden="1"/>
    </xf>
    <xf numFmtId="3" fontId="23" fillId="0" borderId="14" xfId="0" applyNumberFormat="1" applyFont="1" applyBorder="1" applyAlignment="1" applyProtection="1">
      <alignment horizontal="center" vertical="center" wrapText="1"/>
      <protection hidden="1"/>
    </xf>
    <xf numFmtId="3" fontId="23" fillId="0" borderId="15" xfId="0" applyNumberFormat="1" applyFont="1" applyBorder="1" applyAlignment="1" applyProtection="1">
      <alignment horizontal="center" vertical="center" wrapText="1"/>
      <protection hidden="1"/>
    </xf>
    <xf numFmtId="1" fontId="23" fillId="0" borderId="16" xfId="0" applyNumberFormat="1" applyFont="1" applyBorder="1" applyAlignment="1" applyProtection="1">
      <alignment horizontal="center" vertical="center" wrapText="1"/>
      <protection hidden="1"/>
    </xf>
    <xf numFmtId="0" fontId="7" fillId="0" borderId="0" xfId="0" applyFont="1" applyAlignment="1" applyProtection="1">
      <alignment horizontal="right" vertical="center"/>
      <protection hidden="1"/>
    </xf>
    <xf numFmtId="3" fontId="10" fillId="0" borderId="12" xfId="0" applyNumberFormat="1" applyFont="1" applyBorder="1" applyAlignment="1" applyProtection="1">
      <alignment horizontal="right" vertical="center" wrapText="1"/>
      <protection hidden="1"/>
    </xf>
    <xf numFmtId="3" fontId="11" fillId="0" borderId="2" xfId="0" applyNumberFormat="1" applyFont="1" applyBorder="1" applyAlignment="1" applyProtection="1">
      <alignment horizontal="right" vertical="center" wrapText="1"/>
      <protection hidden="1"/>
    </xf>
    <xf numFmtId="3" fontId="11" fillId="0" borderId="3" xfId="0" applyNumberFormat="1" applyFont="1" applyBorder="1" applyAlignment="1" applyProtection="1">
      <alignment horizontal="right" vertical="center" wrapText="1"/>
      <protection hidden="1"/>
    </xf>
    <xf numFmtId="3" fontId="10" fillId="0" borderId="1" xfId="0" applyNumberFormat="1" applyFont="1" applyBorder="1" applyAlignment="1" applyProtection="1">
      <alignment horizontal="right" vertical="center" wrapText="1"/>
      <protection hidden="1"/>
    </xf>
    <xf numFmtId="3" fontId="10" fillId="0" borderId="2" xfId="0" applyNumberFormat="1" applyFont="1" applyBorder="1" applyAlignment="1" applyProtection="1">
      <alignment horizontal="right" vertical="center" wrapText="1"/>
      <protection hidden="1"/>
    </xf>
    <xf numFmtId="3" fontId="10" fillId="0" borderId="3" xfId="0" applyNumberFormat="1" applyFont="1" applyBorder="1" applyAlignment="1" applyProtection="1">
      <alignment horizontal="right" vertical="center" wrapText="1"/>
      <protection hidden="1"/>
    </xf>
    <xf numFmtId="165" fontId="10" fillId="0" borderId="10" xfId="0" applyNumberFormat="1" applyFont="1" applyBorder="1" applyAlignment="1" applyProtection="1">
      <alignment horizontal="right" vertical="center" wrapText="1"/>
      <protection hidden="1"/>
    </xf>
    <xf numFmtId="165" fontId="10" fillId="0" borderId="2" xfId="0" applyNumberFormat="1" applyFont="1" applyBorder="1" applyAlignment="1" applyProtection="1">
      <alignment horizontal="right" vertical="center" wrapText="1"/>
      <protection hidden="1"/>
    </xf>
    <xf numFmtId="165" fontId="10" fillId="0" borderId="3" xfId="0" applyNumberFormat="1" applyFont="1" applyBorder="1" applyAlignment="1" applyProtection="1">
      <alignment horizontal="right" vertical="center" wrapText="1"/>
      <protection hidden="1"/>
    </xf>
    <xf numFmtId="165" fontId="10" fillId="0" borderId="12" xfId="0" applyNumberFormat="1" applyFont="1" applyBorder="1" applyAlignment="1" applyProtection="1">
      <alignment horizontal="right" vertical="center" wrapText="1"/>
      <protection hidden="1"/>
    </xf>
    <xf numFmtId="3" fontId="10" fillId="0" borderId="18" xfId="0" applyNumberFormat="1" applyFont="1" applyBorder="1" applyAlignment="1" applyProtection="1">
      <alignment horizontal="left" vertical="center"/>
      <protection hidden="1"/>
    </xf>
    <xf numFmtId="0" fontId="10" fillId="0" borderId="18" xfId="0" applyFont="1" applyBorder="1" applyAlignment="1" applyProtection="1">
      <alignment horizontal="right" vertical="center"/>
      <protection hidden="1"/>
    </xf>
    <xf numFmtId="0" fontId="3" fillId="0" borderId="18" xfId="0" applyFont="1" applyBorder="1" applyAlignment="1" applyProtection="1">
      <alignment horizontal="right" vertical="center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3" fontId="11" fillId="0" borderId="1" xfId="0" applyNumberFormat="1" applyFont="1" applyBorder="1" applyAlignment="1" applyProtection="1">
      <alignment horizontal="right" vertical="center" wrapText="1"/>
      <protection hidden="1"/>
    </xf>
    <xf numFmtId="3" fontId="11" fillId="0" borderId="18" xfId="0" applyNumberFormat="1" applyFont="1" applyBorder="1" applyAlignment="1" applyProtection="1">
      <alignment horizontal="right" vertical="center" wrapText="1"/>
      <protection hidden="1"/>
    </xf>
    <xf numFmtId="3" fontId="11" fillId="0" borderId="10" xfId="0" applyNumberFormat="1" applyFont="1" applyBorder="1" applyAlignment="1" applyProtection="1">
      <alignment horizontal="right" vertical="center" wrapText="1"/>
      <protection hidden="1"/>
    </xf>
    <xf numFmtId="3" fontId="11" fillId="0" borderId="9" xfId="0" applyNumberFormat="1" applyFont="1" applyBorder="1" applyAlignment="1" applyProtection="1">
      <alignment horizontal="right" vertical="center" wrapText="1"/>
      <protection hidden="1"/>
    </xf>
    <xf numFmtId="3" fontId="11" fillId="0" borderId="12" xfId="0" applyNumberFormat="1" applyFont="1" applyBorder="1" applyAlignment="1" applyProtection="1">
      <alignment horizontal="right" vertical="center" wrapText="1"/>
      <protection hidden="1"/>
    </xf>
    <xf numFmtId="165" fontId="10" fillId="0" borderId="20" xfId="0" applyNumberFormat="1" applyFont="1" applyBorder="1" applyAlignment="1" applyProtection="1">
      <alignment horizontal="right" vertical="center" wrapText="1"/>
      <protection hidden="1"/>
    </xf>
    <xf numFmtId="3" fontId="10" fillId="0" borderId="21" xfId="0" applyNumberFormat="1" applyFont="1" applyBorder="1" applyAlignment="1" applyProtection="1">
      <alignment horizontal="right" vertical="center" wrapText="1"/>
      <protection hidden="1"/>
    </xf>
    <xf numFmtId="3" fontId="10" fillId="0" borderId="22" xfId="0" applyNumberFormat="1" applyFont="1" applyBorder="1" applyAlignment="1" applyProtection="1">
      <alignment horizontal="right" vertical="center" wrapText="1"/>
      <protection hidden="1"/>
    </xf>
    <xf numFmtId="3" fontId="10" fillId="0" borderId="23" xfId="0" applyNumberFormat="1" applyFont="1" applyBorder="1" applyAlignment="1" applyProtection="1">
      <alignment horizontal="right" vertical="center" wrapText="1"/>
      <protection hidden="1"/>
    </xf>
    <xf numFmtId="165" fontId="10" fillId="0" borderId="23" xfId="0" applyNumberFormat="1" applyFont="1" applyBorder="1" applyAlignment="1" applyProtection="1">
      <alignment horizontal="right" vertical="center" wrapText="1"/>
      <protection hidden="1"/>
    </xf>
    <xf numFmtId="165" fontId="10" fillId="0" borderId="25" xfId="0" applyNumberFormat="1" applyFont="1" applyBorder="1" applyAlignment="1" applyProtection="1">
      <alignment horizontal="right" vertical="center" wrapText="1"/>
      <protection hidden="1"/>
    </xf>
    <xf numFmtId="3" fontId="10" fillId="0" borderId="26" xfId="0" applyNumberFormat="1" applyFont="1" applyBorder="1" applyAlignment="1" applyProtection="1">
      <alignment horizontal="right" vertical="center" wrapText="1"/>
      <protection hidden="1"/>
    </xf>
    <xf numFmtId="3" fontId="10" fillId="0" borderId="25" xfId="0" applyNumberFormat="1" applyFont="1" applyBorder="1" applyAlignment="1" applyProtection="1">
      <alignment horizontal="right" vertical="center" wrapText="1"/>
      <protection hidden="1"/>
    </xf>
    <xf numFmtId="165" fontId="10" fillId="0" borderId="27" xfId="0" applyNumberFormat="1" applyFont="1" applyBorder="1" applyAlignment="1" applyProtection="1">
      <alignment horizontal="right" vertical="center" wrapText="1"/>
      <protection hidden="1"/>
    </xf>
    <xf numFmtId="3" fontId="10" fillId="0" borderId="28" xfId="0" applyNumberFormat="1" applyFont="1" applyBorder="1" applyAlignment="1" applyProtection="1">
      <alignment horizontal="right" vertical="center" wrapText="1"/>
      <protection hidden="1"/>
    </xf>
    <xf numFmtId="165" fontId="10" fillId="0" borderId="29" xfId="0" applyNumberFormat="1" applyFont="1" applyBorder="1" applyAlignment="1" applyProtection="1">
      <alignment horizontal="right" vertical="center" wrapText="1"/>
      <protection hidden="1"/>
    </xf>
    <xf numFmtId="165" fontId="11" fillId="0" borderId="18" xfId="0" applyNumberFormat="1" applyFont="1" applyBorder="1" applyAlignment="1" applyProtection="1">
      <alignment horizontal="right" vertical="center" wrapText="1"/>
      <protection hidden="1"/>
    </xf>
    <xf numFmtId="165" fontId="3" fillId="0" borderId="20" xfId="0" applyNumberFormat="1" applyFont="1" applyBorder="1" applyAlignment="1" applyProtection="1">
      <alignment horizontal="right" vertical="center" wrapText="1"/>
      <protection hidden="1"/>
    </xf>
    <xf numFmtId="3" fontId="0" fillId="0" borderId="0" xfId="0" applyNumberForma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8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3" fontId="10" fillId="0" borderId="8" xfId="0" applyNumberFormat="1" applyFont="1" applyBorder="1" applyAlignment="1" applyProtection="1">
      <alignment horizontal="right" vertical="center" wrapText="1"/>
      <protection hidden="1"/>
    </xf>
    <xf numFmtId="3" fontId="10" fillId="0" borderId="30" xfId="0" applyNumberFormat="1" applyFont="1" applyBorder="1" applyAlignment="1" applyProtection="1">
      <alignment horizontal="right" vertical="center" wrapText="1"/>
      <protection hidden="1"/>
    </xf>
    <xf numFmtId="3" fontId="10" fillId="0" borderId="31" xfId="0" applyNumberFormat="1" applyFont="1" applyBorder="1" applyAlignment="1" applyProtection="1">
      <alignment horizontal="right" vertical="center" wrapText="1"/>
      <protection hidden="1"/>
    </xf>
    <xf numFmtId="3" fontId="10" fillId="0" borderId="32" xfId="0" applyNumberFormat="1" applyFont="1" applyBorder="1" applyAlignment="1" applyProtection="1">
      <alignment horizontal="right" vertical="center" wrapText="1"/>
      <protection hidden="1"/>
    </xf>
    <xf numFmtId="0" fontId="10" fillId="0" borderId="0" xfId="0" applyFont="1" applyAlignment="1" applyProtection="1">
      <alignment vertical="center" wrapText="1"/>
      <protection hidden="1"/>
    </xf>
    <xf numFmtId="0" fontId="10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23" fillId="0" borderId="13" xfId="0" applyFont="1" applyBorder="1" applyAlignment="1" applyProtection="1">
      <alignment horizontal="center" vertical="center"/>
      <protection hidden="1"/>
    </xf>
    <xf numFmtId="0" fontId="23" fillId="0" borderId="14" xfId="0" applyFont="1" applyBorder="1" applyAlignment="1" applyProtection="1">
      <alignment horizontal="center" vertical="center"/>
      <protection hidden="1"/>
    </xf>
    <xf numFmtId="0" fontId="23" fillId="0" borderId="15" xfId="0" applyFont="1" applyBorder="1" applyAlignment="1" applyProtection="1">
      <alignment horizontal="center" vertical="center" wrapText="1"/>
      <protection hidden="1"/>
    </xf>
    <xf numFmtId="0" fontId="23" fillId="0" borderId="14" xfId="0" applyFont="1" applyBorder="1" applyAlignment="1" applyProtection="1">
      <alignment horizontal="center" vertical="center" wrapText="1"/>
      <protection hidden="1"/>
    </xf>
    <xf numFmtId="1" fontId="23" fillId="0" borderId="13" xfId="0" applyNumberFormat="1" applyFont="1" applyBorder="1" applyAlignment="1" applyProtection="1">
      <alignment horizontal="center" vertical="center"/>
      <protection hidden="1"/>
    </xf>
    <xf numFmtId="0" fontId="23" fillId="0" borderId="33" xfId="0" applyFont="1" applyBorder="1" applyAlignment="1" applyProtection="1">
      <alignment horizontal="center" vertical="center"/>
      <protection hidden="1"/>
    </xf>
    <xf numFmtId="1" fontId="23" fillId="0" borderId="14" xfId="0" applyNumberFormat="1" applyFont="1" applyBorder="1" applyAlignment="1" applyProtection="1">
      <alignment horizontal="center" vertical="center"/>
      <protection hidden="1"/>
    </xf>
    <xf numFmtId="3" fontId="11" fillId="0" borderId="4" xfId="0" applyNumberFormat="1" applyFont="1" applyBorder="1" applyAlignment="1" applyProtection="1">
      <alignment horizontal="right" vertical="center" wrapText="1"/>
      <protection hidden="1"/>
    </xf>
    <xf numFmtId="3" fontId="11" fillId="0" borderId="5" xfId="0" applyNumberFormat="1" applyFont="1" applyBorder="1" applyAlignment="1" applyProtection="1">
      <alignment horizontal="right" vertical="center" wrapText="1"/>
      <protection hidden="1"/>
    </xf>
    <xf numFmtId="3" fontId="11" fillId="0" borderId="6" xfId="0" applyNumberFormat="1" applyFont="1" applyBorder="1" applyAlignment="1" applyProtection="1">
      <alignment horizontal="right" vertical="center" wrapText="1"/>
      <protection hidden="1"/>
    </xf>
    <xf numFmtId="3" fontId="10" fillId="0" borderId="7" xfId="0" applyNumberFormat="1" applyFont="1" applyBorder="1" applyAlignment="1" applyProtection="1">
      <alignment horizontal="right" vertical="center"/>
      <protection hidden="1"/>
    </xf>
    <xf numFmtId="3" fontId="11" fillId="0" borderId="8" xfId="0" applyNumberFormat="1" applyFont="1" applyBorder="1" applyAlignment="1" applyProtection="1">
      <alignment horizontal="right" vertical="center"/>
      <protection hidden="1"/>
    </xf>
    <xf numFmtId="3" fontId="10" fillId="0" borderId="34" xfId="0" applyNumberFormat="1" applyFont="1" applyBorder="1" applyAlignment="1" applyProtection="1">
      <alignment horizontal="right" vertical="center"/>
      <protection hidden="1"/>
    </xf>
    <xf numFmtId="3" fontId="11" fillId="0" borderId="35" xfId="0" applyNumberFormat="1" applyFont="1" applyBorder="1" applyAlignment="1" applyProtection="1">
      <alignment horizontal="right" vertical="center"/>
      <protection hidden="1"/>
    </xf>
    <xf numFmtId="3" fontId="10" fillId="0" borderId="1" xfId="0" applyNumberFormat="1" applyFont="1" applyBorder="1" applyAlignment="1" applyProtection="1">
      <alignment horizontal="right" vertical="center"/>
      <protection hidden="1"/>
    </xf>
    <xf numFmtId="3" fontId="11" fillId="0" borderId="3" xfId="0" applyNumberFormat="1" applyFont="1" applyBorder="1" applyAlignment="1" applyProtection="1">
      <alignment horizontal="right" vertical="center"/>
      <protection hidden="1"/>
    </xf>
    <xf numFmtId="1" fontId="11" fillId="0" borderId="9" xfId="0" applyNumberFormat="1" applyFont="1" applyBorder="1" applyAlignment="1" applyProtection="1">
      <alignment horizontal="center" vertical="center"/>
      <protection hidden="1"/>
    </xf>
    <xf numFmtId="3" fontId="11" fillId="0" borderId="1" xfId="0" applyNumberFormat="1" applyFont="1" applyBorder="1" applyAlignment="1" applyProtection="1">
      <alignment horizontal="right" vertical="center"/>
      <protection hidden="1"/>
    </xf>
    <xf numFmtId="3" fontId="11" fillId="0" borderId="2" xfId="0" applyNumberFormat="1" applyFont="1" applyBorder="1" applyAlignment="1" applyProtection="1">
      <alignment horizontal="right" vertical="center"/>
      <protection hidden="1"/>
    </xf>
    <xf numFmtId="3" fontId="11" fillId="0" borderId="9" xfId="0" applyNumberFormat="1" applyFont="1" applyBorder="1" applyAlignment="1" applyProtection="1">
      <alignment horizontal="right" vertical="center"/>
      <protection hidden="1"/>
    </xf>
    <xf numFmtId="3" fontId="10" fillId="0" borderId="36" xfId="0" applyNumberFormat="1" applyFont="1" applyBorder="1" applyAlignment="1" applyProtection="1">
      <alignment horizontal="right" vertical="center" wrapTex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7" fillId="0" borderId="0" xfId="0" applyFont="1" applyAlignment="1" applyProtection="1">
      <alignment vertical="center"/>
      <protection hidden="1"/>
    </xf>
    <xf numFmtId="38" fontId="3" fillId="0" borderId="4" xfId="0" applyNumberFormat="1" applyFont="1" applyBorder="1" applyAlignment="1" applyProtection="1">
      <alignment horizontal="right" vertical="center"/>
      <protection hidden="1"/>
    </xf>
    <xf numFmtId="38" fontId="3" fillId="0" borderId="5" xfId="0" applyNumberFormat="1" applyFont="1" applyBorder="1" applyAlignment="1" applyProtection="1">
      <alignment horizontal="right" vertical="center"/>
      <protection hidden="1"/>
    </xf>
    <xf numFmtId="38" fontId="3" fillId="0" borderId="6" xfId="0" applyNumberFormat="1" applyFont="1" applyBorder="1" applyAlignment="1" applyProtection="1">
      <alignment horizontal="right" vertical="center"/>
      <protection hidden="1"/>
    </xf>
    <xf numFmtId="38" fontId="3" fillId="0" borderId="37" xfId="0" applyNumberFormat="1" applyFont="1" applyBorder="1" applyAlignment="1" applyProtection="1">
      <alignment horizontal="right" vertical="center"/>
      <protection hidden="1"/>
    </xf>
    <xf numFmtId="3" fontId="2" fillId="0" borderId="1" xfId="0" applyNumberFormat="1" applyFont="1" applyBorder="1" applyAlignment="1" applyProtection="1">
      <alignment horizontal="right" vertical="center"/>
      <protection hidden="1"/>
    </xf>
    <xf numFmtId="3" fontId="2" fillId="0" borderId="2" xfId="0" applyNumberFormat="1" applyFont="1" applyBorder="1" applyAlignment="1" applyProtection="1">
      <alignment horizontal="righ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3" fontId="3" fillId="0" borderId="11" xfId="0" applyNumberFormat="1" applyFont="1" applyBorder="1" applyAlignment="1" applyProtection="1">
      <alignment horizontal="right" vertical="center"/>
      <protection hidden="1"/>
    </xf>
    <xf numFmtId="38" fontId="3" fillId="0" borderId="1" xfId="0" applyNumberFormat="1" applyFont="1" applyBorder="1" applyAlignment="1" applyProtection="1">
      <alignment horizontal="right" vertical="center"/>
      <protection hidden="1"/>
    </xf>
    <xf numFmtId="38" fontId="3" fillId="0" borderId="2" xfId="0" applyNumberFormat="1" applyFont="1" applyBorder="1" applyAlignment="1" applyProtection="1">
      <alignment horizontal="right" vertical="center"/>
      <protection hidden="1"/>
    </xf>
    <xf numFmtId="38" fontId="3" fillId="0" borderId="9" xfId="0" applyNumberFormat="1" applyFont="1" applyBorder="1" applyAlignment="1" applyProtection="1">
      <alignment horizontal="right" vertical="center"/>
      <protection hidden="1"/>
    </xf>
    <xf numFmtId="38" fontId="3" fillId="0" borderId="11" xfId="0" applyNumberFormat="1" applyFont="1" applyBorder="1" applyAlignment="1" applyProtection="1">
      <alignment horizontal="right" vertical="center"/>
      <protection hidden="1"/>
    </xf>
    <xf numFmtId="38" fontId="3" fillId="0" borderId="17" xfId="0" applyNumberFormat="1" applyFont="1" applyBorder="1" applyAlignment="1" applyProtection="1">
      <alignment horizontal="right" vertical="center"/>
      <protection hidden="1"/>
    </xf>
    <xf numFmtId="38" fontId="3" fillId="0" borderId="10" xfId="0" applyNumberFormat="1" applyFont="1" applyBorder="1" applyAlignment="1" applyProtection="1">
      <alignment horizontal="right" vertical="center"/>
      <protection hidden="1"/>
    </xf>
    <xf numFmtId="0" fontId="3" fillId="0" borderId="1" xfId="0" quotePrefix="1" applyFont="1" applyBorder="1" applyAlignment="1" applyProtection="1">
      <alignment vertical="center"/>
      <protection hidden="1"/>
    </xf>
    <xf numFmtId="0" fontId="3" fillId="0" borderId="2" xfId="0" quotePrefix="1" applyFont="1" applyBorder="1" applyAlignment="1" applyProtection="1">
      <alignment vertical="center"/>
      <protection hidden="1"/>
    </xf>
    <xf numFmtId="0" fontId="3" fillId="0" borderId="9" xfId="0" applyFont="1" applyBorder="1" applyAlignment="1" applyProtection="1">
      <alignment vertical="center"/>
      <protection hidden="1"/>
    </xf>
    <xf numFmtId="3" fontId="2" fillId="0" borderId="18" xfId="0" applyNumberFormat="1" applyFont="1" applyBorder="1" applyAlignment="1" applyProtection="1">
      <alignment horizontal="right" vertical="center"/>
      <protection hidden="1"/>
    </xf>
    <xf numFmtId="3" fontId="2" fillId="0" borderId="12" xfId="0" applyNumberFormat="1" applyFont="1" applyBorder="1" applyAlignment="1" applyProtection="1">
      <alignment horizontal="right" vertical="center"/>
      <protection hidden="1"/>
    </xf>
    <xf numFmtId="3" fontId="3" fillId="0" borderId="18" xfId="0" applyNumberFormat="1" applyFont="1" applyBorder="1" applyAlignment="1" applyProtection="1">
      <alignment horizontal="right" vertical="center"/>
      <protection hidden="1"/>
    </xf>
    <xf numFmtId="3" fontId="3" fillId="0" borderId="12" xfId="0" applyNumberFormat="1" applyFont="1" applyBorder="1" applyAlignment="1" applyProtection="1">
      <alignment horizontal="right" vertical="center"/>
      <protection hidden="1"/>
    </xf>
    <xf numFmtId="38" fontId="3" fillId="0" borderId="38" xfId="0" applyNumberFormat="1" applyFont="1" applyBorder="1" applyAlignment="1" applyProtection="1">
      <alignment horizontal="right" vertical="center"/>
      <protection hidden="1"/>
    </xf>
    <xf numFmtId="38" fontId="3" fillId="0" borderId="39" xfId="0" applyNumberFormat="1" applyFont="1" applyBorder="1" applyAlignment="1" applyProtection="1">
      <alignment horizontal="right" vertical="center"/>
      <protection hidden="1"/>
    </xf>
    <xf numFmtId="38" fontId="3" fillId="0" borderId="40" xfId="0" applyNumberFormat="1" applyFont="1" applyBorder="1" applyAlignment="1" applyProtection="1">
      <alignment horizontal="right" vertical="center"/>
      <protection hidden="1"/>
    </xf>
    <xf numFmtId="38" fontId="3" fillId="0" borderId="41" xfId="0" applyNumberFormat="1" applyFont="1" applyBorder="1" applyAlignment="1" applyProtection="1">
      <alignment horizontal="right" vertical="center"/>
      <protection hidden="1"/>
    </xf>
    <xf numFmtId="38" fontId="3" fillId="0" borderId="19" xfId="0" applyNumberFormat="1" applyFont="1" applyBorder="1" applyAlignment="1" applyProtection="1">
      <alignment horizontal="right" vertical="center"/>
      <protection hidden="1"/>
    </xf>
    <xf numFmtId="38" fontId="3" fillId="0" borderId="32" xfId="0" applyNumberFormat="1" applyFont="1" applyBorder="1" applyAlignment="1" applyProtection="1">
      <alignment horizontal="right" vertical="center"/>
      <protection hidden="1"/>
    </xf>
    <xf numFmtId="38" fontId="3" fillId="0" borderId="22" xfId="0" applyNumberFormat="1" applyFont="1" applyBorder="1" applyAlignment="1" applyProtection="1">
      <alignment horizontal="right" vertical="center"/>
      <protection hidden="1"/>
    </xf>
    <xf numFmtId="38" fontId="3" fillId="0" borderId="42" xfId="0" applyNumberFormat="1" applyFont="1" applyBorder="1" applyAlignment="1" applyProtection="1">
      <alignment horizontal="right" vertical="center"/>
      <protection hidden="1"/>
    </xf>
    <xf numFmtId="1" fontId="0" fillId="0" borderId="0" xfId="0" applyNumberForma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vertical="center" wrapText="1"/>
      <protection hidden="1"/>
    </xf>
    <xf numFmtId="0" fontId="5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vertical="center" wrapText="1"/>
      <protection hidden="1"/>
    </xf>
    <xf numFmtId="9" fontId="11" fillId="3" borderId="2" xfId="0" applyNumberFormat="1" applyFont="1" applyFill="1" applyBorder="1" applyAlignment="1" applyProtection="1">
      <alignment horizontal="center" vertical="center" wrapText="1"/>
      <protection locked="0"/>
    </xf>
    <xf numFmtId="9" fontId="0" fillId="0" borderId="12" xfId="0" applyNumberFormat="1" applyBorder="1" applyAlignment="1" applyProtection="1">
      <alignment horizontal="center" vertical="center" wrapText="1"/>
      <protection hidden="1"/>
    </xf>
    <xf numFmtId="9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3" fontId="3" fillId="0" borderId="1" xfId="0" applyNumberFormat="1" applyFont="1" applyBorder="1" applyAlignment="1" applyProtection="1">
      <alignment horizontal="right" vertical="center" wrapText="1"/>
      <protection hidden="1"/>
    </xf>
    <xf numFmtId="3" fontId="3" fillId="0" borderId="2" xfId="0" applyNumberFormat="1" applyFont="1" applyBorder="1" applyAlignment="1" applyProtection="1">
      <alignment horizontal="right" vertical="center" wrapText="1"/>
      <protection hidden="1"/>
    </xf>
    <xf numFmtId="3" fontId="3" fillId="0" borderId="3" xfId="0" applyNumberFormat="1" applyFont="1" applyBorder="1" applyAlignment="1" applyProtection="1">
      <alignment horizontal="right" vertical="center" wrapText="1"/>
      <protection hidden="1"/>
    </xf>
    <xf numFmtId="3" fontId="3" fillId="0" borderId="11" xfId="0" applyNumberFormat="1" applyFont="1" applyBorder="1" applyAlignment="1" applyProtection="1">
      <alignment horizontal="right" vertical="center" wrapText="1"/>
      <protection hidden="1"/>
    </xf>
    <xf numFmtId="3" fontId="1" fillId="0" borderId="1" xfId="0" applyNumberFormat="1" applyFont="1" applyBorder="1" applyAlignment="1" applyProtection="1">
      <alignment horizontal="right" vertical="center" wrapText="1"/>
      <protection hidden="1"/>
    </xf>
    <xf numFmtId="3" fontId="1" fillId="0" borderId="2" xfId="0" applyNumberFormat="1" applyFont="1" applyBorder="1" applyAlignment="1" applyProtection="1">
      <alignment horizontal="right" vertical="center" wrapText="1"/>
      <protection hidden="1"/>
    </xf>
    <xf numFmtId="3" fontId="1" fillId="0" borderId="3" xfId="0" applyNumberFormat="1" applyFont="1" applyBorder="1" applyAlignment="1" applyProtection="1">
      <alignment horizontal="right" vertical="center" wrapText="1"/>
      <protection hidden="1"/>
    </xf>
    <xf numFmtId="3" fontId="23" fillId="0" borderId="43" xfId="0" applyNumberFormat="1" applyFont="1" applyBorder="1" applyAlignment="1" applyProtection="1">
      <alignment horizontal="center" vertical="center" wrapText="1"/>
      <protection hidden="1"/>
    </xf>
    <xf numFmtId="3" fontId="1" fillId="3" borderId="1" xfId="0" applyNumberFormat="1" applyFont="1" applyFill="1" applyBorder="1" applyAlignment="1" applyProtection="1">
      <alignment horizontal="right" vertical="center" wrapText="1"/>
      <protection locked="0"/>
    </xf>
    <xf numFmtId="3" fontId="1" fillId="3" borderId="2" xfId="0" applyNumberFormat="1" applyFont="1" applyFill="1" applyBorder="1" applyAlignment="1" applyProtection="1">
      <alignment horizontal="right" vertical="center" wrapText="1"/>
      <protection locked="0"/>
    </xf>
    <xf numFmtId="3" fontId="1" fillId="3" borderId="3" xfId="0" applyNumberFormat="1" applyFont="1" applyFill="1" applyBorder="1" applyAlignment="1" applyProtection="1">
      <alignment horizontal="right" vertical="center" wrapText="1"/>
      <protection locked="0"/>
    </xf>
    <xf numFmtId="3" fontId="3" fillId="0" borderId="18" xfId="0" applyNumberFormat="1" applyFont="1" applyBorder="1" applyAlignment="1" applyProtection="1">
      <alignment horizontal="right" vertical="center" wrapText="1"/>
      <protection hidden="1"/>
    </xf>
    <xf numFmtId="3" fontId="3" fillId="0" borderId="12" xfId="0" applyNumberFormat="1" applyFont="1" applyBorder="1" applyAlignment="1" applyProtection="1">
      <alignment horizontal="right" vertical="center" wrapText="1"/>
      <protection hidden="1"/>
    </xf>
    <xf numFmtId="3" fontId="23" fillId="0" borderId="33" xfId="0" applyNumberFormat="1" applyFont="1" applyBorder="1" applyAlignment="1" applyProtection="1">
      <alignment horizontal="center" vertical="center" wrapText="1"/>
      <protection hidden="1"/>
    </xf>
    <xf numFmtId="3" fontId="10" fillId="0" borderId="18" xfId="0" applyNumberFormat="1" applyFont="1" applyBorder="1" applyAlignment="1" applyProtection="1">
      <alignment horizontal="right" vertical="center" wrapText="1"/>
      <protection hidden="1"/>
    </xf>
    <xf numFmtId="169" fontId="3" fillId="0" borderId="3" xfId="0" applyNumberFormat="1" applyFont="1" applyBorder="1" applyAlignment="1" applyProtection="1">
      <alignment horizontal="center" vertical="center" wrapText="1"/>
      <protection hidden="1"/>
    </xf>
    <xf numFmtId="3" fontId="3" fillId="0" borderId="18" xfId="0" applyNumberFormat="1" applyFont="1" applyBorder="1" applyAlignment="1" applyProtection="1">
      <alignment horizontal="left" vertical="center"/>
      <protection hidden="1"/>
    </xf>
    <xf numFmtId="9" fontId="1" fillId="0" borderId="17" xfId="0" applyNumberFormat="1" applyFont="1" applyBorder="1" applyAlignment="1" applyProtection="1">
      <alignment horizontal="left" vertical="center" wrapText="1"/>
      <protection hidden="1"/>
    </xf>
    <xf numFmtId="0" fontId="3" fillId="0" borderId="17" xfId="0" applyFont="1" applyBorder="1" applyAlignment="1" applyProtection="1">
      <alignment vertical="center" wrapText="1"/>
      <protection hidden="1"/>
    </xf>
    <xf numFmtId="0" fontId="1" fillId="0" borderId="17" xfId="0" applyFont="1" applyBorder="1" applyAlignment="1" applyProtection="1">
      <alignment horizontal="left" vertical="center" wrapText="1"/>
      <protection hidden="1"/>
    </xf>
    <xf numFmtId="169" fontId="11" fillId="0" borderId="2" xfId="0" applyNumberFormat="1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169" fontId="3" fillId="0" borderId="2" xfId="0" applyNumberFormat="1" applyFont="1" applyBorder="1" applyAlignment="1" applyProtection="1">
      <alignment horizontal="center" vertical="center" wrapText="1"/>
      <protection hidden="1"/>
    </xf>
    <xf numFmtId="3" fontId="3" fillId="0" borderId="31" xfId="0" applyNumberFormat="1" applyFont="1" applyBorder="1" applyAlignment="1" applyProtection="1">
      <alignment horizontal="right" vertical="center" wrapText="1"/>
      <protection hidden="1"/>
    </xf>
    <xf numFmtId="3" fontId="3" fillId="0" borderId="32" xfId="0" applyNumberFormat="1" applyFont="1" applyBorder="1" applyAlignment="1" applyProtection="1">
      <alignment horizontal="right" vertical="center" wrapText="1"/>
      <protection hidden="1"/>
    </xf>
    <xf numFmtId="3" fontId="3" fillId="0" borderId="36" xfId="0" applyNumberFormat="1" applyFont="1" applyBorder="1" applyAlignment="1" applyProtection="1">
      <alignment horizontal="right" vertical="center" wrapText="1"/>
      <protection hidden="1"/>
    </xf>
    <xf numFmtId="3" fontId="3" fillId="0" borderId="23" xfId="0" applyNumberFormat="1" applyFont="1" applyBorder="1" applyAlignment="1" applyProtection="1">
      <alignment horizontal="right" vertical="center" wrapText="1"/>
      <protection hidden="1"/>
    </xf>
    <xf numFmtId="3" fontId="3" fillId="4" borderId="5" xfId="0" applyNumberFormat="1" applyFont="1" applyFill="1" applyBorder="1" applyAlignment="1" applyProtection="1">
      <alignment horizontal="right" vertical="center" wrapText="1"/>
      <protection hidden="1"/>
    </xf>
    <xf numFmtId="3" fontId="3" fillId="4" borderId="8" xfId="0" applyNumberFormat="1" applyFont="1" applyFill="1" applyBorder="1" applyAlignment="1" applyProtection="1">
      <alignment horizontal="right" vertical="center" wrapText="1"/>
      <protection hidden="1"/>
    </xf>
    <xf numFmtId="3" fontId="10" fillId="4" borderId="12" xfId="0" applyNumberFormat="1" applyFont="1" applyFill="1" applyBorder="1" applyAlignment="1" applyProtection="1">
      <alignment horizontal="right" vertical="center" wrapText="1"/>
      <protection hidden="1"/>
    </xf>
    <xf numFmtId="3" fontId="10" fillId="4" borderId="44" xfId="0" applyNumberFormat="1" applyFont="1" applyFill="1" applyBorder="1" applyAlignment="1" applyProtection="1">
      <alignment horizontal="right" vertical="center" wrapText="1"/>
      <protection hidden="1"/>
    </xf>
    <xf numFmtId="1" fontId="20" fillId="0" borderId="0" xfId="0" applyNumberFormat="1" applyFont="1" applyAlignment="1" applyProtection="1">
      <alignment horizontal="center" vertical="center"/>
      <protection hidden="1"/>
    </xf>
    <xf numFmtId="3" fontId="3" fillId="0" borderId="21" xfId="0" applyNumberFormat="1" applyFont="1" applyBorder="1" applyAlignment="1" applyProtection="1">
      <alignment horizontal="right" vertical="center" wrapText="1"/>
      <protection hidden="1"/>
    </xf>
    <xf numFmtId="3" fontId="3" fillId="0" borderId="20" xfId="0" applyNumberFormat="1" applyFont="1" applyBorder="1" applyAlignment="1" applyProtection="1">
      <alignment horizontal="right" vertical="center" wrapText="1"/>
      <protection hidden="1"/>
    </xf>
    <xf numFmtId="165" fontId="3" fillId="0" borderId="23" xfId="0" applyNumberFormat="1" applyFont="1" applyBorder="1" applyAlignment="1" applyProtection="1">
      <alignment horizontal="right" vertical="center" wrapText="1"/>
      <protection hidden="1"/>
    </xf>
    <xf numFmtId="165" fontId="10" fillId="0" borderId="18" xfId="0" applyNumberFormat="1" applyFont="1" applyBorder="1" applyAlignment="1" applyProtection="1">
      <alignment horizontal="right" vertical="center" wrapText="1"/>
      <protection hidden="1"/>
    </xf>
    <xf numFmtId="165" fontId="10" fillId="0" borderId="11" xfId="0" applyNumberFormat="1" applyFont="1" applyBorder="1" applyAlignment="1" applyProtection="1">
      <alignment horizontal="right" vertical="center" wrapText="1"/>
      <protection hidden="1"/>
    </xf>
    <xf numFmtId="165" fontId="10" fillId="0" borderId="45" xfId="0" applyNumberFormat="1" applyFont="1" applyBorder="1" applyAlignment="1" applyProtection="1">
      <alignment horizontal="right" vertical="center" wrapText="1"/>
      <protection hidden="1"/>
    </xf>
    <xf numFmtId="165" fontId="10" fillId="0" borderId="46" xfId="0" applyNumberFormat="1" applyFont="1" applyBorder="1" applyAlignment="1" applyProtection="1">
      <alignment horizontal="right" vertical="center" wrapText="1"/>
      <protection hidden="1"/>
    </xf>
    <xf numFmtId="165" fontId="10" fillId="0" borderId="48" xfId="0" applyNumberFormat="1" applyFont="1" applyBorder="1" applyAlignment="1" applyProtection="1">
      <alignment horizontal="right" vertical="center" wrapText="1"/>
      <protection hidden="1"/>
    </xf>
    <xf numFmtId="3" fontId="10" fillId="0" borderId="48" xfId="0" applyNumberFormat="1" applyFont="1" applyBorder="1" applyAlignment="1" applyProtection="1">
      <alignment horizontal="right" vertical="center" wrapText="1"/>
      <protection hidden="1"/>
    </xf>
    <xf numFmtId="3" fontId="1" fillId="0" borderId="18" xfId="0" applyNumberFormat="1" applyFont="1" applyBorder="1" applyAlignment="1" applyProtection="1">
      <alignment horizontal="right" vertical="center" wrapText="1"/>
      <protection hidden="1"/>
    </xf>
    <xf numFmtId="165" fontId="3" fillId="0" borderId="0" xfId="0" applyNumberFormat="1" applyFont="1" applyAlignment="1" applyProtection="1">
      <alignment horizontal="right" vertical="center" wrapText="1"/>
      <protection hidden="1"/>
    </xf>
    <xf numFmtId="3" fontId="3" fillId="0" borderId="0" xfId="0" applyNumberFormat="1" applyFont="1" applyAlignment="1" applyProtection="1">
      <alignment horizontal="right" vertical="center" wrapText="1"/>
      <protection hidden="1"/>
    </xf>
    <xf numFmtId="165" fontId="3" fillId="0" borderId="45" xfId="0" applyNumberFormat="1" applyFont="1" applyBorder="1" applyAlignment="1" applyProtection="1">
      <alignment horizontal="right" vertical="center" wrapText="1"/>
      <protection hidden="1"/>
    </xf>
    <xf numFmtId="165" fontId="3" fillId="0" borderId="46" xfId="0" applyNumberFormat="1" applyFont="1" applyBorder="1" applyAlignment="1" applyProtection="1">
      <alignment horizontal="right" vertical="center" wrapText="1"/>
      <protection hidden="1"/>
    </xf>
    <xf numFmtId="3" fontId="11" fillId="0" borderId="50" xfId="0" applyNumberFormat="1" applyFont="1" applyBorder="1" applyAlignment="1" applyProtection="1">
      <alignment horizontal="right" vertical="center" wrapText="1"/>
      <protection hidden="1"/>
    </xf>
    <xf numFmtId="3" fontId="12" fillId="0" borderId="51" xfId="0" applyNumberFormat="1" applyFont="1" applyBorder="1" applyAlignment="1" applyProtection="1">
      <alignment horizontal="right" vertical="center" wrapText="1"/>
      <protection hidden="1"/>
    </xf>
    <xf numFmtId="3" fontId="12" fillId="0" borderId="6" xfId="0" applyNumberFormat="1" applyFont="1" applyBorder="1" applyAlignment="1" applyProtection="1">
      <alignment horizontal="right" vertical="center" wrapText="1"/>
      <protection hidden="1"/>
    </xf>
    <xf numFmtId="3" fontId="11" fillId="0" borderId="29" xfId="0" applyNumberFormat="1" applyFont="1" applyBorder="1" applyAlignment="1" applyProtection="1">
      <alignment horizontal="right" vertical="center" wrapText="1"/>
      <protection hidden="1"/>
    </xf>
    <xf numFmtId="165" fontId="10" fillId="0" borderId="21" xfId="0" applyNumberFormat="1" applyFont="1" applyBorder="1" applyAlignment="1" applyProtection="1">
      <alignment horizontal="right" vertical="center" wrapText="1"/>
      <protection hidden="1"/>
    </xf>
    <xf numFmtId="165" fontId="3" fillId="0" borderId="42" xfId="0" applyNumberFormat="1" applyFont="1" applyBorder="1" applyAlignment="1" applyProtection="1">
      <alignment horizontal="right" vertical="center" wrapText="1"/>
      <protection hidden="1"/>
    </xf>
    <xf numFmtId="3" fontId="10" fillId="0" borderId="20" xfId="0" applyNumberFormat="1" applyFont="1" applyBorder="1" applyAlignment="1" applyProtection="1">
      <alignment horizontal="right" vertical="center" wrapText="1"/>
      <protection hidden="1"/>
    </xf>
    <xf numFmtId="3" fontId="10" fillId="0" borderId="52" xfId="0" applyNumberFormat="1" applyFont="1" applyBorder="1" applyAlignment="1" applyProtection="1">
      <alignment horizontal="right" vertical="center" wrapText="1"/>
      <protection hidden="1"/>
    </xf>
    <xf numFmtId="3" fontId="10" fillId="0" borderId="10" xfId="0" applyNumberFormat="1" applyFont="1" applyBorder="1" applyAlignment="1" applyProtection="1">
      <alignment horizontal="right" vertical="center" wrapText="1"/>
      <protection hidden="1"/>
    </xf>
    <xf numFmtId="3" fontId="3" fillId="0" borderId="53" xfId="0" applyNumberFormat="1" applyFont="1" applyBorder="1" applyAlignment="1" applyProtection="1">
      <alignment horizontal="right" vertical="center" wrapText="1"/>
      <protection hidden="1"/>
    </xf>
    <xf numFmtId="38" fontId="3" fillId="0" borderId="3" xfId="0" applyNumberFormat="1" applyFont="1" applyBorder="1" applyAlignment="1" applyProtection="1">
      <alignment horizontal="right" vertical="center"/>
      <protection hidden="1"/>
    </xf>
    <xf numFmtId="3" fontId="1" fillId="0" borderId="1" xfId="0" applyNumberFormat="1" applyFont="1" applyBorder="1" applyAlignment="1" applyProtection="1">
      <alignment horizontal="right" vertical="center"/>
      <protection hidden="1"/>
    </xf>
    <xf numFmtId="3" fontId="1" fillId="0" borderId="2" xfId="0" applyNumberFormat="1" applyFont="1" applyBorder="1" applyAlignment="1" applyProtection="1">
      <alignment horizontal="right" vertical="center"/>
      <protection hidden="1"/>
    </xf>
    <xf numFmtId="3" fontId="1" fillId="0" borderId="9" xfId="0" applyNumberFormat="1" applyFont="1" applyBorder="1" applyAlignment="1" applyProtection="1">
      <alignment horizontal="right" vertical="center"/>
      <protection hidden="1"/>
    </xf>
    <xf numFmtId="1" fontId="20" fillId="0" borderId="0" xfId="0" applyNumberFormat="1" applyFont="1" applyAlignment="1" applyProtection="1">
      <alignment vertical="center"/>
      <protection hidden="1"/>
    </xf>
    <xf numFmtId="3" fontId="11" fillId="3" borderId="6" xfId="0" applyNumberFormat="1" applyFont="1" applyFill="1" applyBorder="1" applyAlignment="1" applyProtection="1">
      <alignment horizontal="center" vertical="center" wrapText="1"/>
      <protection locked="0" hidden="1"/>
    </xf>
    <xf numFmtId="165" fontId="10" fillId="3" borderId="12" xfId="0" applyNumberFormat="1" applyFont="1" applyFill="1" applyBorder="1" applyAlignment="1" applyProtection="1">
      <alignment horizontal="right" vertical="center" wrapText="1"/>
      <protection locked="0"/>
    </xf>
    <xf numFmtId="3" fontId="1" fillId="3" borderId="1" xfId="0" applyNumberFormat="1" applyFont="1" applyFill="1" applyBorder="1" applyAlignment="1" applyProtection="1">
      <alignment horizontal="right" vertical="center"/>
      <protection locked="0"/>
    </xf>
    <xf numFmtId="3" fontId="1" fillId="3" borderId="2" xfId="0" applyNumberFormat="1" applyFont="1" applyFill="1" applyBorder="1" applyAlignment="1" applyProtection="1">
      <alignment horizontal="right" vertical="center"/>
      <protection locked="0"/>
    </xf>
    <xf numFmtId="3" fontId="1" fillId="3" borderId="9" xfId="0" applyNumberFormat="1" applyFont="1" applyFill="1" applyBorder="1" applyAlignment="1" applyProtection="1">
      <alignment horizontal="right" vertical="center"/>
      <protection locked="0"/>
    </xf>
    <xf numFmtId="0" fontId="1" fillId="3" borderId="17" xfId="0" applyFont="1" applyFill="1" applyBorder="1" applyAlignment="1" applyProtection="1">
      <alignment vertical="center"/>
      <protection locked="0"/>
    </xf>
    <xf numFmtId="0" fontId="0" fillId="3" borderId="18" xfId="0" applyFill="1" applyBorder="1" applyAlignment="1" applyProtection="1">
      <alignment vertical="center"/>
      <protection locked="0" hidden="1"/>
    </xf>
    <xf numFmtId="0" fontId="1" fillId="3" borderId="1" xfId="0" applyFont="1" applyFill="1" applyBorder="1" applyAlignment="1" applyProtection="1">
      <alignment vertical="center"/>
      <protection locked="0"/>
    </xf>
    <xf numFmtId="0" fontId="3" fillId="0" borderId="19" xfId="0" applyFont="1" applyBorder="1" applyAlignment="1" applyProtection="1">
      <alignment vertical="center" wrapText="1"/>
      <protection hidden="1"/>
    </xf>
    <xf numFmtId="0" fontId="3" fillId="0" borderId="38" xfId="0" applyFont="1" applyBorder="1" applyAlignment="1" applyProtection="1">
      <alignment vertical="center"/>
      <protection hidden="1"/>
    </xf>
    <xf numFmtId="3" fontId="10" fillId="0" borderId="17" xfId="0" applyNumberFormat="1" applyFont="1" applyBorder="1" applyAlignment="1" applyProtection="1">
      <alignment vertical="center" wrapText="1"/>
      <protection hidden="1"/>
    </xf>
    <xf numFmtId="165" fontId="3" fillId="0" borderId="0" xfId="0" applyNumberFormat="1" applyFont="1" applyAlignment="1" applyProtection="1">
      <alignment vertical="center"/>
      <protection hidden="1"/>
    </xf>
    <xf numFmtId="165" fontId="3" fillId="0" borderId="11" xfId="0" applyNumberFormat="1" applyFont="1" applyBorder="1" applyAlignment="1" applyProtection="1">
      <alignment horizontal="right" vertical="center" wrapText="1"/>
      <protection hidden="1"/>
    </xf>
    <xf numFmtId="165" fontId="3" fillId="0" borderId="12" xfId="0" applyNumberFormat="1" applyFont="1" applyBorder="1" applyAlignment="1" applyProtection="1">
      <alignment horizontal="right" vertical="center" wrapText="1"/>
      <protection hidden="1"/>
    </xf>
    <xf numFmtId="0" fontId="0" fillId="0" borderId="18" xfId="0" applyBorder="1" applyAlignment="1" applyProtection="1">
      <alignment vertical="center" wrapText="1"/>
      <protection hidden="1"/>
    </xf>
    <xf numFmtId="0" fontId="0" fillId="0" borderId="18" xfId="0" applyBorder="1" applyAlignment="1" applyProtection="1">
      <alignment vertical="center"/>
      <protection hidden="1"/>
    </xf>
    <xf numFmtId="0" fontId="0" fillId="0" borderId="43" xfId="0" applyBorder="1" applyAlignment="1">
      <alignment vertical="center" wrapText="1"/>
    </xf>
    <xf numFmtId="170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1" fontId="23" fillId="0" borderId="58" xfId="0" applyNumberFormat="1" applyFont="1" applyBorder="1" applyAlignment="1" applyProtection="1">
      <alignment horizontal="right" vertical="center" wrapText="1"/>
      <protection hidden="1"/>
    </xf>
    <xf numFmtId="170" fontId="3" fillId="3" borderId="58" xfId="0" applyNumberFormat="1" applyFont="1" applyFill="1" applyBorder="1" applyAlignment="1" applyProtection="1">
      <alignment horizontal="center" vertical="center" wrapText="1"/>
      <protection locked="0"/>
    </xf>
    <xf numFmtId="170" fontId="3" fillId="0" borderId="3" xfId="0" applyNumberFormat="1" applyFont="1" applyBorder="1" applyAlignment="1" applyProtection="1">
      <alignment horizontal="center" vertical="center" wrapText="1"/>
      <protection hidden="1"/>
    </xf>
    <xf numFmtId="1" fontId="23" fillId="0" borderId="11" xfId="0" applyNumberFormat="1" applyFont="1" applyBorder="1" applyAlignment="1" applyProtection="1">
      <alignment horizontal="right" vertical="center" wrapText="1"/>
      <protection hidden="1"/>
    </xf>
    <xf numFmtId="170" fontId="3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8" xfId="0" applyFont="1" applyBorder="1" applyAlignment="1" applyProtection="1">
      <alignment horizontal="left" vertical="center"/>
      <protection hidden="1"/>
    </xf>
    <xf numFmtId="170" fontId="0" fillId="0" borderId="3" xfId="0" applyNumberFormat="1" applyBorder="1" applyAlignment="1" applyProtection="1">
      <alignment horizontal="center" vertical="center" wrapText="1"/>
      <protection hidden="1"/>
    </xf>
    <xf numFmtId="1" fontId="4" fillId="0" borderId="11" xfId="0" applyNumberFormat="1" applyFont="1" applyBorder="1" applyAlignment="1" applyProtection="1">
      <alignment horizontal="right" vertical="center" wrapText="1"/>
      <protection hidden="1"/>
    </xf>
    <xf numFmtId="171" fontId="3" fillId="0" borderId="3" xfId="0" applyNumberFormat="1" applyFont="1" applyBorder="1" applyAlignment="1" applyProtection="1">
      <alignment horizontal="center" vertical="center" wrapText="1"/>
      <protection hidden="1"/>
    </xf>
    <xf numFmtId="171" fontId="1" fillId="0" borderId="3" xfId="0" applyNumberFormat="1" applyFont="1" applyBorder="1" applyAlignment="1" applyProtection="1">
      <alignment horizontal="center" vertical="center"/>
      <protection hidden="1"/>
    </xf>
    <xf numFmtId="171" fontId="3" fillId="0" borderId="3" xfId="0" applyNumberFormat="1" applyFont="1" applyBorder="1" applyAlignment="1" applyProtection="1">
      <alignment horizontal="center" vertical="center"/>
      <protection hidden="1"/>
    </xf>
    <xf numFmtId="171" fontId="1" fillId="3" borderId="3" xfId="0" applyNumberFormat="1" applyFont="1" applyFill="1" applyBorder="1" applyAlignment="1" applyProtection="1">
      <alignment horizontal="center" vertical="center" wrapText="1"/>
      <protection locked="0"/>
    </xf>
    <xf numFmtId="170" fontId="3" fillId="0" borderId="36" xfId="0" applyNumberFormat="1" applyFont="1" applyBorder="1" applyAlignment="1" applyProtection="1">
      <alignment horizontal="center" vertical="center" wrapText="1"/>
      <protection hidden="1"/>
    </xf>
    <xf numFmtId="170" fontId="3" fillId="0" borderId="30" xfId="0" applyNumberFormat="1" applyFont="1" applyBorder="1" applyAlignment="1" applyProtection="1">
      <alignment horizontal="center" vertical="center" wrapText="1"/>
      <protection hidden="1"/>
    </xf>
    <xf numFmtId="171" fontId="1" fillId="4" borderId="3" xfId="0" applyNumberFormat="1" applyFont="1" applyFill="1" applyBorder="1" applyAlignment="1" applyProtection="1">
      <alignment horizontal="center" vertical="center" wrapText="1"/>
      <protection hidden="1"/>
    </xf>
    <xf numFmtId="169" fontId="11" fillId="4" borderId="9" xfId="0" applyNumberFormat="1" applyFont="1" applyFill="1" applyBorder="1" applyAlignment="1" applyProtection="1">
      <alignment horizontal="center" vertical="center" wrapText="1"/>
      <protection hidden="1"/>
    </xf>
    <xf numFmtId="169" fontId="11" fillId="0" borderId="9" xfId="0" applyNumberFormat="1" applyFont="1" applyBorder="1" applyAlignment="1" applyProtection="1">
      <alignment horizontal="center" vertical="center" wrapText="1"/>
      <protection hidden="1"/>
    </xf>
    <xf numFmtId="3" fontId="23" fillId="0" borderId="57" xfId="0" applyNumberFormat="1" applyFont="1" applyBorder="1" applyAlignment="1" applyProtection="1">
      <alignment horizontal="center" vertical="center" wrapText="1"/>
      <protection hidden="1"/>
    </xf>
    <xf numFmtId="3" fontId="3" fillId="4" borderId="51" xfId="0" applyNumberFormat="1" applyFont="1" applyFill="1" applyBorder="1" applyAlignment="1" applyProtection="1">
      <alignment horizontal="right" vertical="center" wrapText="1"/>
      <protection hidden="1"/>
    </xf>
    <xf numFmtId="3" fontId="1" fillId="3" borderId="10" xfId="0" applyNumberFormat="1" applyFont="1" applyFill="1" applyBorder="1" applyAlignment="1" applyProtection="1">
      <alignment horizontal="right" vertical="center" wrapText="1"/>
      <protection locked="0"/>
    </xf>
    <xf numFmtId="0" fontId="0" fillId="0" borderId="2" xfId="0" applyBorder="1" applyAlignment="1" applyProtection="1">
      <alignment vertical="center" wrapText="1"/>
      <protection hidden="1"/>
    </xf>
    <xf numFmtId="171" fontId="1" fillId="0" borderId="3" xfId="0" applyNumberFormat="1" applyFont="1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vertical="center" wrapText="1"/>
      <protection hidden="1"/>
    </xf>
    <xf numFmtId="0" fontId="0" fillId="0" borderId="30" xfId="0" applyBorder="1" applyAlignment="1" applyProtection="1">
      <alignment vertical="center" wrapText="1"/>
      <protection hidden="1"/>
    </xf>
    <xf numFmtId="0" fontId="3" fillId="0" borderId="36" xfId="0" applyFont="1" applyBorder="1" applyAlignment="1" applyProtection="1">
      <alignment vertical="center" wrapText="1"/>
      <protection hidden="1"/>
    </xf>
    <xf numFmtId="170" fontId="1" fillId="0" borderId="3" xfId="0" applyNumberFormat="1" applyFont="1" applyBorder="1" applyAlignment="1" applyProtection="1">
      <alignment horizontal="center" vertical="center" wrapText="1"/>
      <protection hidden="1"/>
    </xf>
    <xf numFmtId="171" fontId="3" fillId="0" borderId="30" xfId="0" applyNumberFormat="1" applyFont="1" applyBorder="1" applyAlignment="1" applyProtection="1">
      <alignment horizontal="center" vertical="center" wrapText="1"/>
      <protection hidden="1"/>
    </xf>
    <xf numFmtId="170" fontId="1" fillId="0" borderId="30" xfId="0" applyNumberFormat="1" applyFont="1" applyBorder="1" applyAlignment="1" applyProtection="1">
      <alignment horizontal="center" vertical="center" wrapText="1"/>
      <protection hidden="1"/>
    </xf>
    <xf numFmtId="170" fontId="3" fillId="0" borderId="59" xfId="0" applyNumberFormat="1" applyFont="1" applyBorder="1" applyAlignment="1" applyProtection="1">
      <alignment horizontal="center" vertical="center" wrapText="1"/>
      <protection hidden="1"/>
    </xf>
    <xf numFmtId="170" fontId="3" fillId="0" borderId="33" xfId="0" applyNumberFormat="1" applyFont="1" applyBorder="1" applyAlignment="1" applyProtection="1">
      <alignment horizontal="center" vertical="center" wrapText="1"/>
      <protection hidden="1"/>
    </xf>
    <xf numFmtId="10" fontId="2" fillId="3" borderId="9" xfId="0" applyNumberFormat="1" applyFont="1" applyFill="1" applyBorder="1" applyAlignment="1" applyProtection="1">
      <alignment horizontal="center" vertical="center"/>
      <protection locked="0"/>
    </xf>
    <xf numFmtId="0" fontId="23" fillId="0" borderId="33" xfId="0" applyFont="1" applyBorder="1" applyAlignment="1" applyProtection="1">
      <alignment horizontal="center" vertical="center" wrapText="1"/>
      <protection hidden="1"/>
    </xf>
    <xf numFmtId="170" fontId="3" fillId="0" borderId="30" xfId="0" applyNumberFormat="1" applyFont="1" applyBorder="1" applyAlignment="1" applyProtection="1">
      <alignment horizontal="center" vertical="center"/>
      <protection hidden="1"/>
    </xf>
    <xf numFmtId="170" fontId="3" fillId="0" borderId="3" xfId="0" applyNumberFormat="1" applyFont="1" applyBorder="1" applyAlignment="1" applyProtection="1">
      <alignment horizontal="center" vertical="center"/>
      <protection hidden="1"/>
    </xf>
    <xf numFmtId="170" fontId="1" fillId="0" borderId="3" xfId="0" applyNumberFormat="1" applyFont="1" applyBorder="1" applyAlignment="1" applyProtection="1">
      <alignment horizontal="center" vertical="center"/>
      <protection hidden="1"/>
    </xf>
    <xf numFmtId="171" fontId="1" fillId="3" borderId="3" xfId="0" applyNumberFormat="1" applyFont="1" applyFill="1" applyBorder="1" applyAlignment="1" applyProtection="1">
      <alignment horizontal="center" vertical="center"/>
      <protection locked="0"/>
    </xf>
    <xf numFmtId="170" fontId="0" fillId="0" borderId="3" xfId="0" applyNumberFormat="1" applyBorder="1" applyAlignment="1" applyProtection="1">
      <alignment horizontal="center" vertical="center"/>
      <protection hidden="1"/>
    </xf>
    <xf numFmtId="170" fontId="3" fillId="0" borderId="36" xfId="0" applyNumberFormat="1" applyFont="1" applyBorder="1" applyAlignment="1" applyProtection="1">
      <alignment horizontal="center" vertical="center"/>
      <protection hidden="1"/>
    </xf>
    <xf numFmtId="3" fontId="20" fillId="0" borderId="0" xfId="0" applyNumberFormat="1" applyFont="1" applyAlignment="1" applyProtection="1">
      <alignment horizontal="right"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vertical="center"/>
      <protection locked="0" hidden="1"/>
    </xf>
    <xf numFmtId="9" fontId="1" fillId="0" borderId="17" xfId="0" applyNumberFormat="1" applyFont="1" applyBorder="1" applyAlignment="1" applyProtection="1">
      <alignment vertical="center" wrapText="1"/>
      <protection hidden="1"/>
    </xf>
    <xf numFmtId="0" fontId="0" fillId="0" borderId="18" xfId="0" applyBorder="1" applyAlignment="1" applyProtection="1">
      <alignment vertical="center" wrapText="1"/>
      <protection hidden="1"/>
    </xf>
    <xf numFmtId="0" fontId="0" fillId="0" borderId="12" xfId="0" applyBorder="1" applyAlignment="1" applyProtection="1">
      <alignment vertical="center" wrapText="1"/>
      <protection hidden="1"/>
    </xf>
    <xf numFmtId="9" fontId="1" fillId="0" borderId="10" xfId="0" applyNumberFormat="1" applyFont="1" applyBorder="1" applyAlignment="1" applyProtection="1">
      <alignment vertical="center" wrapText="1"/>
      <protection hidden="1"/>
    </xf>
    <xf numFmtId="0" fontId="3" fillId="0" borderId="17" xfId="0" applyFont="1" applyBorder="1" applyAlignment="1" applyProtection="1">
      <alignment vertical="center" wrapText="1"/>
      <protection hidden="1"/>
    </xf>
    <xf numFmtId="0" fontId="3" fillId="0" borderId="18" xfId="0" applyFont="1" applyBorder="1" applyAlignment="1" applyProtection="1">
      <alignment vertical="center" wrapText="1"/>
      <protection hidden="1"/>
    </xf>
    <xf numFmtId="0" fontId="3" fillId="0" borderId="12" xfId="0" applyFont="1" applyBorder="1" applyAlignment="1" applyProtection="1">
      <alignment vertical="center" wrapText="1"/>
      <protection hidden="1"/>
    </xf>
    <xf numFmtId="3" fontId="23" fillId="0" borderId="54" xfId="0" applyNumberFormat="1" applyFont="1" applyBorder="1" applyAlignment="1" applyProtection="1">
      <alignment horizontal="left" vertical="center" wrapText="1"/>
      <protection hidden="1"/>
    </xf>
    <xf numFmtId="0" fontId="0" fillId="0" borderId="55" xfId="0" applyBorder="1" applyAlignment="1" applyProtection="1">
      <alignment vertical="center" wrapText="1"/>
      <protection hidden="1"/>
    </xf>
    <xf numFmtId="9" fontId="1" fillId="3" borderId="17" xfId="0" applyNumberFormat="1" applyFont="1" applyFill="1" applyBorder="1" applyAlignment="1" applyProtection="1">
      <alignment horizontal="left" vertical="center" wrapText="1"/>
      <protection locked="0"/>
    </xf>
    <xf numFmtId="0" fontId="1" fillId="0" borderId="10" xfId="0" applyFont="1" applyBorder="1" applyAlignment="1" applyProtection="1">
      <alignment vertical="center" wrapText="1"/>
      <protection locked="0"/>
    </xf>
    <xf numFmtId="3" fontId="3" fillId="0" borderId="47" xfId="0" applyNumberFormat="1" applyFont="1" applyBorder="1" applyAlignment="1" applyProtection="1">
      <alignment horizontal="left" vertical="center" wrapText="1"/>
      <protection hidden="1"/>
    </xf>
    <xf numFmtId="0" fontId="0" fillId="0" borderId="48" xfId="0" applyBorder="1" applyAlignment="1" applyProtection="1">
      <alignment vertical="center" wrapText="1"/>
      <protection hidden="1"/>
    </xf>
    <xf numFmtId="0" fontId="0" fillId="0" borderId="48" xfId="0" applyBorder="1" applyAlignment="1">
      <alignment vertical="center" wrapText="1"/>
    </xf>
    <xf numFmtId="0" fontId="3" fillId="0" borderId="19" xfId="0" applyFont="1" applyBorder="1" applyAlignment="1" applyProtection="1">
      <alignment vertical="center" wrapText="1"/>
      <protection hidden="1"/>
    </xf>
    <xf numFmtId="0" fontId="11" fillId="0" borderId="20" xfId="0" applyFont="1" applyBorder="1" applyAlignment="1" applyProtection="1">
      <alignment vertical="center" wrapText="1"/>
      <protection hidden="1"/>
    </xf>
    <xf numFmtId="0" fontId="0" fillId="0" borderId="23" xfId="0" applyBorder="1" applyAlignment="1" applyProtection="1">
      <alignment vertical="center" wrapText="1"/>
      <protection hidden="1"/>
    </xf>
    <xf numFmtId="0" fontId="3" fillId="0" borderId="17" xfId="0" applyFont="1" applyBorder="1" applyAlignment="1" applyProtection="1">
      <alignment vertical="center"/>
      <protection hidden="1"/>
    </xf>
    <xf numFmtId="0" fontId="0" fillId="0" borderId="18" xfId="0" applyBorder="1" applyAlignment="1" applyProtection="1">
      <alignment vertical="center"/>
      <protection hidden="1"/>
    </xf>
    <xf numFmtId="0" fontId="1" fillId="0" borderId="49" xfId="0" applyFont="1" applyBorder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vertical="center" wrapText="1"/>
      <protection hidden="1"/>
    </xf>
    <xf numFmtId="0" fontId="1" fillId="0" borderId="17" xfId="0" applyFont="1" applyBorder="1" applyAlignment="1" applyProtection="1">
      <alignment horizontal="left" vertical="center" wrapText="1"/>
      <protection hidden="1"/>
    </xf>
    <xf numFmtId="0" fontId="11" fillId="0" borderId="18" xfId="0" applyFont="1" applyBorder="1" applyAlignment="1" applyProtection="1">
      <alignment horizontal="left" vertical="center" wrapText="1"/>
      <protection hidden="1"/>
    </xf>
    <xf numFmtId="0" fontId="15" fillId="0" borderId="24" xfId="0" applyFont="1" applyBorder="1" applyAlignment="1" applyProtection="1">
      <alignment vertical="center" wrapText="1"/>
      <protection hidden="1"/>
    </xf>
    <xf numFmtId="0" fontId="16" fillId="0" borderId="25" xfId="0" applyFont="1" applyBorder="1" applyAlignment="1" applyProtection="1">
      <alignment vertical="center" wrapText="1"/>
      <protection hidden="1"/>
    </xf>
    <xf numFmtId="0" fontId="1" fillId="0" borderId="17" xfId="0" applyFont="1" applyBorder="1" applyAlignment="1" applyProtection="1">
      <alignment vertical="center" wrapText="1"/>
      <protection hidden="1"/>
    </xf>
    <xf numFmtId="0" fontId="11" fillId="0" borderId="18" xfId="0" applyFont="1" applyBorder="1" applyAlignment="1" applyProtection="1">
      <alignment vertical="center" wrapText="1"/>
      <protection hidden="1"/>
    </xf>
    <xf numFmtId="165" fontId="3" fillId="3" borderId="22" xfId="0" applyNumberFormat="1" applyFont="1" applyFill="1" applyBorder="1" applyAlignment="1" applyProtection="1">
      <alignment horizontal="center" vertical="center" wrapText="1"/>
      <protection locked="0"/>
    </xf>
    <xf numFmtId="165" fontId="3" fillId="3" borderId="20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20" xfId="0" applyFont="1" applyBorder="1" applyAlignment="1" applyProtection="1">
      <alignment vertical="center" wrapText="1"/>
      <protection hidden="1"/>
    </xf>
    <xf numFmtId="0" fontId="1" fillId="0" borderId="28" xfId="0" applyFont="1" applyBorder="1" applyAlignment="1" applyProtection="1">
      <alignment vertical="center" wrapText="1"/>
      <protection hidden="1"/>
    </xf>
    <xf numFmtId="0" fontId="11" fillId="0" borderId="50" xfId="0" applyFont="1" applyBorder="1" applyAlignment="1" applyProtection="1">
      <alignment vertical="center" wrapText="1"/>
      <protection hidden="1"/>
    </xf>
    <xf numFmtId="0" fontId="0" fillId="0" borderId="50" xfId="0" applyBorder="1" applyAlignment="1" applyProtection="1">
      <alignment vertical="center" wrapText="1"/>
      <protection hidden="1"/>
    </xf>
    <xf numFmtId="3" fontId="11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 applyProtection="1">
      <alignment horizontal="left" vertical="center" wrapText="1"/>
      <protection hidden="1"/>
    </xf>
    <xf numFmtId="0" fontId="2" fillId="2" borderId="17" xfId="0" applyFont="1" applyFill="1" applyBorder="1" applyAlignment="1" applyProtection="1">
      <alignment horizontal="left" vertical="center" wrapText="1"/>
      <protection hidden="1"/>
    </xf>
    <xf numFmtId="0" fontId="11" fillId="2" borderId="18" xfId="0" applyFont="1" applyFill="1" applyBorder="1" applyAlignment="1" applyProtection="1">
      <alignment horizontal="left" vertical="center" wrapText="1"/>
      <protection hidden="1"/>
    </xf>
    <xf numFmtId="0" fontId="1" fillId="3" borderId="17" xfId="0" applyFont="1" applyFill="1" applyBorder="1" applyAlignment="1" applyProtection="1">
      <alignment horizontal="left" vertical="center" wrapText="1"/>
      <protection locked="0"/>
    </xf>
    <xf numFmtId="0" fontId="11" fillId="3" borderId="18" xfId="0" applyFont="1" applyFill="1" applyBorder="1" applyAlignment="1" applyProtection="1">
      <alignment horizontal="left" vertical="center" wrapText="1"/>
      <protection locked="0"/>
    </xf>
    <xf numFmtId="0" fontId="0" fillId="3" borderId="18" xfId="0" applyFill="1" applyBorder="1" applyAlignment="1" applyProtection="1">
      <alignment vertical="center" wrapText="1"/>
      <protection locked="0"/>
    </xf>
    <xf numFmtId="0" fontId="11" fillId="3" borderId="17" xfId="0" applyFont="1" applyFill="1" applyBorder="1" applyAlignment="1" applyProtection="1">
      <alignment horizontal="left" vertical="center" wrapText="1"/>
      <protection locked="0"/>
    </xf>
    <xf numFmtId="0" fontId="11" fillId="0" borderId="17" xfId="0" applyFont="1" applyBorder="1" applyAlignment="1" applyProtection="1">
      <alignment vertical="center" wrapText="1"/>
      <protection hidden="1"/>
    </xf>
    <xf numFmtId="0" fontId="1" fillId="3" borderId="17" xfId="0" applyFont="1" applyFill="1" applyBorder="1" applyAlignment="1" applyProtection="1">
      <alignment horizontal="left" vertical="center"/>
      <protection locked="0"/>
    </xf>
    <xf numFmtId="0" fontId="11" fillId="3" borderId="18" xfId="0" applyFont="1" applyFill="1" applyBorder="1" applyAlignment="1" applyProtection="1">
      <alignment horizontal="left" vertical="center"/>
      <protection locked="0"/>
    </xf>
    <xf numFmtId="0" fontId="0" fillId="3" borderId="18" xfId="0" applyFill="1" applyBorder="1" applyAlignment="1" applyProtection="1">
      <alignment horizontal="left" vertical="center"/>
      <protection locked="0"/>
    </xf>
    <xf numFmtId="165" fontId="3" fillId="3" borderId="9" xfId="0" applyNumberFormat="1" applyFont="1" applyFill="1" applyBorder="1" applyAlignment="1" applyProtection="1">
      <alignment horizontal="center" vertical="center" wrapText="1"/>
      <protection locked="0"/>
    </xf>
    <xf numFmtId="165" fontId="3" fillId="3" borderId="18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Border="1" applyAlignment="1" applyProtection="1">
      <alignment vertical="center" wrapText="1"/>
      <protection hidden="1"/>
    </xf>
    <xf numFmtId="0" fontId="10" fillId="0" borderId="48" xfId="0" applyFont="1" applyBorder="1" applyAlignment="1" applyProtection="1">
      <alignment vertical="center" wrapText="1"/>
      <protection hidden="1"/>
    </xf>
    <xf numFmtId="0" fontId="10" fillId="0" borderId="17" xfId="0" applyFont="1" applyBorder="1" applyAlignment="1" applyProtection="1">
      <alignment vertical="center" wrapText="1"/>
      <protection hidden="1"/>
    </xf>
    <xf numFmtId="0" fontId="22" fillId="3" borderId="0" xfId="0" applyFont="1" applyFill="1" applyAlignment="1" applyProtection="1">
      <alignment horizontal="center" vertical="center"/>
      <protection locked="0" hidden="1"/>
    </xf>
    <xf numFmtId="0" fontId="0" fillId="3" borderId="0" xfId="0" applyFill="1" applyAlignment="1" applyProtection="1">
      <alignment horizontal="center" vertical="center"/>
      <protection locked="0"/>
    </xf>
    <xf numFmtId="1" fontId="23" fillId="0" borderId="54" xfId="0" applyNumberFormat="1" applyFont="1" applyBorder="1" applyAlignment="1" applyProtection="1">
      <alignment horizontal="center" vertical="center" wrapText="1"/>
      <protection hidden="1"/>
    </xf>
    <xf numFmtId="0" fontId="0" fillId="0" borderId="56" xfId="0" applyBorder="1" applyAlignment="1" applyProtection="1">
      <alignment horizontal="center" vertical="center"/>
      <protection hidden="1"/>
    </xf>
    <xf numFmtId="3" fontId="10" fillId="0" borderId="19" xfId="0" applyNumberFormat="1" applyFont="1" applyBorder="1" applyAlignment="1" applyProtection="1">
      <alignment horizontal="center" vertical="center" wrapText="1"/>
      <protection hidden="1"/>
    </xf>
    <xf numFmtId="0" fontId="0" fillId="0" borderId="23" xfId="0" applyBorder="1" applyAlignment="1" applyProtection="1">
      <alignment horizontal="center" vertical="center" wrapText="1"/>
      <protection hidden="1"/>
    </xf>
    <xf numFmtId="0" fontId="11" fillId="0" borderId="1" xfId="0" applyFont="1" applyBorder="1" applyAlignment="1" applyProtection="1">
      <alignment vertical="center"/>
      <protection hidden="1"/>
    </xf>
    <xf numFmtId="0" fontId="11" fillId="0" borderId="2" xfId="0" applyFont="1" applyBorder="1" applyAlignment="1" applyProtection="1">
      <alignment vertical="center"/>
      <protection hidden="1"/>
    </xf>
    <xf numFmtId="0" fontId="11" fillId="3" borderId="1" xfId="0" applyFont="1" applyFill="1" applyBorder="1" applyAlignment="1" applyProtection="1">
      <alignment vertical="center"/>
      <protection locked="0"/>
    </xf>
    <xf numFmtId="0" fontId="11" fillId="3" borderId="2" xfId="0" applyFont="1" applyFill="1" applyBorder="1" applyAlignment="1" applyProtection="1">
      <alignment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0" fontId="10" fillId="0" borderId="31" xfId="0" applyFont="1" applyBorder="1" applyAlignment="1" applyProtection="1">
      <alignment vertical="center"/>
      <protection hidden="1"/>
    </xf>
    <xf numFmtId="0" fontId="11" fillId="0" borderId="32" xfId="0" applyFont="1" applyBorder="1" applyAlignment="1" applyProtection="1">
      <alignment vertical="center"/>
      <protection hidden="1"/>
    </xf>
    <xf numFmtId="0" fontId="11" fillId="0" borderId="22" xfId="0" applyFont="1" applyBorder="1" applyAlignment="1" applyProtection="1">
      <alignment vertical="center"/>
      <protection hidden="1"/>
    </xf>
    <xf numFmtId="0" fontId="23" fillId="0" borderId="54" xfId="0" applyFont="1" applyBorder="1" applyAlignment="1" applyProtection="1">
      <alignment horizontal="left" vertical="center"/>
      <protection hidden="1"/>
    </xf>
    <xf numFmtId="0" fontId="24" fillId="0" borderId="57" xfId="0" applyFont="1" applyBorder="1" applyAlignment="1" applyProtection="1">
      <alignment horizontal="left" vertical="center"/>
      <protection hidden="1"/>
    </xf>
    <xf numFmtId="0" fontId="1" fillId="3" borderId="4" xfId="0" applyFont="1" applyFill="1" applyBorder="1" applyAlignment="1" applyProtection="1">
      <alignment vertical="center"/>
      <protection locked="0" hidden="1"/>
    </xf>
    <xf numFmtId="0" fontId="11" fillId="3" borderId="5" xfId="0" applyFont="1" applyFill="1" applyBorder="1" applyAlignment="1" applyProtection="1">
      <alignment vertical="center"/>
      <protection locked="0" hidden="1"/>
    </xf>
    <xf numFmtId="0" fontId="1" fillId="0" borderId="1" xfId="0" applyFont="1" applyBorder="1" applyAlignment="1" applyProtection="1">
      <alignment vertical="center"/>
      <protection hidden="1"/>
    </xf>
    <xf numFmtId="0" fontId="2" fillId="0" borderId="2" xfId="0" applyFont="1" applyBorder="1" applyAlignment="1" applyProtection="1">
      <alignment vertical="center"/>
      <protection hidden="1"/>
    </xf>
    <xf numFmtId="0" fontId="2" fillId="0" borderId="9" xfId="0" applyFont="1" applyBorder="1" applyAlignment="1" applyProtection="1">
      <alignment vertical="center"/>
      <protection hidden="1"/>
    </xf>
    <xf numFmtId="0" fontId="23" fillId="0" borderId="13" xfId="0" applyFont="1" applyBorder="1" applyAlignment="1" applyProtection="1">
      <alignment horizontal="center" vertical="center" wrapText="1"/>
      <protection hidden="1"/>
    </xf>
    <xf numFmtId="0" fontId="23" fillId="0" borderId="14" xfId="0" applyFont="1" applyBorder="1" applyAlignment="1" applyProtection="1">
      <alignment horizontal="center" vertical="center" wrapText="1"/>
      <protection hidden="1"/>
    </xf>
    <xf numFmtId="0" fontId="23" fillId="0" borderId="15" xfId="0" applyFont="1" applyBorder="1" applyAlignment="1" applyProtection="1">
      <alignment horizontal="center" vertical="center" wrapText="1"/>
      <protection hidden="1"/>
    </xf>
    <xf numFmtId="3" fontId="3" fillId="0" borderId="4" xfId="0" applyNumberFormat="1" applyFont="1" applyBorder="1" applyAlignment="1" applyProtection="1">
      <alignment vertical="center"/>
      <protection hidden="1"/>
    </xf>
    <xf numFmtId="3" fontId="3" fillId="0" borderId="5" xfId="0" applyNumberFormat="1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vertical="center"/>
      <protection hidden="1"/>
    </xf>
    <xf numFmtId="0" fontId="3" fillId="0" borderId="1" xfId="0" applyFont="1" applyBorder="1" applyAlignment="1" applyProtection="1">
      <alignment vertical="center"/>
      <protection hidden="1"/>
    </xf>
    <xf numFmtId="0" fontId="3" fillId="0" borderId="2" xfId="0" applyFont="1" applyBorder="1" applyAlignment="1" applyProtection="1">
      <alignment vertical="center"/>
      <protection hidden="1"/>
    </xf>
    <xf numFmtId="0" fontId="3" fillId="0" borderId="9" xfId="0" applyFont="1" applyBorder="1" applyAlignment="1" applyProtection="1">
      <alignment vertical="center"/>
      <protection hidden="1"/>
    </xf>
    <xf numFmtId="0" fontId="1" fillId="0" borderId="1" xfId="0" quotePrefix="1" applyFont="1" applyBorder="1" applyAlignment="1" applyProtection="1">
      <alignment vertical="center"/>
      <protection hidden="1"/>
    </xf>
    <xf numFmtId="0" fontId="2" fillId="0" borderId="2" xfId="0" quotePrefix="1" applyFont="1" applyBorder="1" applyAlignment="1" applyProtection="1">
      <alignment vertical="center"/>
      <protection hidden="1"/>
    </xf>
    <xf numFmtId="0" fontId="3" fillId="0" borderId="19" xfId="0" applyFont="1" applyBorder="1" applyAlignment="1" applyProtection="1">
      <alignment vertical="center"/>
      <protection hidden="1"/>
    </xf>
    <xf numFmtId="0" fontId="0" fillId="0" borderId="20" xfId="0" applyBorder="1" applyAlignment="1" applyProtection="1">
      <alignment vertical="center"/>
      <protection hidden="1"/>
    </xf>
    <xf numFmtId="0" fontId="3" fillId="0" borderId="17" xfId="0" quotePrefix="1" applyFont="1" applyBorder="1" applyAlignment="1" applyProtection="1">
      <alignment vertical="center"/>
      <protection hidden="1"/>
    </xf>
    <xf numFmtId="0" fontId="1" fillId="0" borderId="17" xfId="0" applyFont="1" applyBorder="1" applyAlignment="1" applyProtection="1">
      <alignment vertical="center"/>
      <protection hidden="1"/>
    </xf>
    <xf numFmtId="0" fontId="3" fillId="0" borderId="17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vertical="center"/>
      <protection hidden="1"/>
    </xf>
    <xf numFmtId="0" fontId="1" fillId="3" borderId="1" xfId="0" applyFont="1" applyFill="1" applyBorder="1" applyAlignment="1" applyProtection="1">
      <alignment vertical="center"/>
      <protection locked="0" hidden="1"/>
    </xf>
    <xf numFmtId="0" fontId="2" fillId="3" borderId="2" xfId="0" applyFont="1" applyFill="1" applyBorder="1" applyAlignment="1" applyProtection="1">
      <alignment vertical="center"/>
      <protection locked="0" hidden="1"/>
    </xf>
    <xf numFmtId="0" fontId="2" fillId="3" borderId="9" xfId="0" applyFont="1" applyFill="1" applyBorder="1" applyAlignment="1" applyProtection="1">
      <alignment vertical="center"/>
      <protection locked="0" hidden="1"/>
    </xf>
    <xf numFmtId="0" fontId="2" fillId="3" borderId="1" xfId="0" applyFont="1" applyFill="1" applyBorder="1" applyAlignment="1" applyProtection="1">
      <alignment vertical="center"/>
      <protection locked="0" hidden="1"/>
    </xf>
    <xf numFmtId="0" fontId="0" fillId="0" borderId="10" xfId="0" applyBorder="1" applyAlignment="1" applyProtection="1">
      <alignment vertical="center"/>
      <protection hidden="1"/>
    </xf>
    <xf numFmtId="0" fontId="1" fillId="3" borderId="17" xfId="0" applyFont="1" applyFill="1" applyBorder="1" applyAlignment="1" applyProtection="1">
      <alignment vertical="center"/>
      <protection locked="0"/>
    </xf>
    <xf numFmtId="0" fontId="1" fillId="3" borderId="18" xfId="0" applyFont="1" applyFill="1" applyBorder="1" applyAlignment="1" applyProtection="1">
      <alignment vertical="center"/>
      <protection locked="0"/>
    </xf>
    <xf numFmtId="165" fontId="3" fillId="3" borderId="9" xfId="0" applyNumberFormat="1" applyFont="1" applyFill="1" applyBorder="1" applyAlignment="1" applyProtection="1">
      <alignment horizontal="center" vertical="center"/>
      <protection locked="0"/>
    </xf>
    <xf numFmtId="165" fontId="0" fillId="3" borderId="18" xfId="0" applyNumberFormat="1" applyFill="1" applyBorder="1" applyAlignment="1" applyProtection="1">
      <alignment horizontal="center" vertical="center"/>
      <protection locked="0"/>
    </xf>
  </cellXfs>
  <cellStyles count="1">
    <cellStyle name="Standard" xfId="0" builtinId="0"/>
  </cellStyles>
  <dxfs count="179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Absatzmengen</a:t>
            </a:r>
          </a:p>
        </c:rich>
      </c:tx>
      <c:layout>
        <c:manualLayout>
          <c:xMode val="edge"/>
          <c:yMode val="edge"/>
          <c:x val="1.0921042152266369E-2"/>
          <c:y val="3.220395395781006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Absatzplan!$A$20</c:f>
              <c:strCache>
                <c:ptCount val="1"/>
                <c:pt idx="0">
                  <c:v>Pilotprojekt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Absatzplan!$E$20:$P$20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6C-4D76-9188-8ECADB8CADCF}"/>
            </c:ext>
          </c:extLst>
        </c:ser>
        <c:ser>
          <c:idx val="1"/>
          <c:order val="1"/>
          <c:tx>
            <c:strRef>
              <c:f>Absatzplan!$A$21</c:f>
              <c:strCache>
                <c:ptCount val="1"/>
                <c:pt idx="0">
                  <c:v>Starter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Absatzplan!$E$21:$P$21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6C-4D76-9188-8ECADB8CADCF}"/>
            </c:ext>
          </c:extLst>
        </c:ser>
        <c:ser>
          <c:idx val="2"/>
          <c:order val="2"/>
          <c:tx>
            <c:strRef>
              <c:f>Absatzplan!$A$22</c:f>
              <c:strCache>
                <c:ptCount val="1"/>
                <c:pt idx="0">
                  <c:v>Professional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Absatzplan!$E$22:$P$22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3A-46F2-B9DC-448AAE49C4F2}"/>
            </c:ext>
          </c:extLst>
        </c:ser>
        <c:ser>
          <c:idx val="3"/>
          <c:order val="3"/>
          <c:tx>
            <c:strRef>
              <c:f>Absatzplan!$A$23</c:f>
              <c:strCache>
                <c:ptCount val="1"/>
                <c:pt idx="0">
                  <c:v>Enterprise Abo 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Absatzplan!$E$23:$P$23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3A-46F2-B9DC-448AAE49C4F2}"/>
            </c:ext>
          </c:extLst>
        </c:ser>
        <c:ser>
          <c:idx val="4"/>
          <c:order val="4"/>
          <c:tx>
            <c:strRef>
              <c:f>Absatzplan!$A$24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Absatzplan!$E$24:$P$24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3A-46F2-B9DC-448AAE49C4F2}"/>
            </c:ext>
          </c:extLst>
        </c:ser>
        <c:ser>
          <c:idx val="5"/>
          <c:order val="5"/>
          <c:tx>
            <c:strRef>
              <c:f>Absatzplan!$A$25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Absatzplan!$E$25:$P$25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3A-46F2-B9DC-448AAE49C4F2}"/>
            </c:ext>
          </c:extLst>
        </c:ser>
        <c:ser>
          <c:idx val="6"/>
          <c:order val="6"/>
          <c:tx>
            <c:strRef>
              <c:f>Absatzplan!$A$26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Absatzplan!$E$26:$P$26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3A-46F2-B9DC-448AAE49C4F2}"/>
            </c:ext>
          </c:extLst>
        </c:ser>
        <c:ser>
          <c:idx val="7"/>
          <c:order val="7"/>
          <c:tx>
            <c:strRef>
              <c:f>Absatzplan!$A$27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Absatzplan!$E$27:$P$27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3A-46F2-B9DC-448AAE49C4F2}"/>
            </c:ext>
          </c:extLst>
        </c:ser>
        <c:ser>
          <c:idx val="8"/>
          <c:order val="8"/>
          <c:tx>
            <c:strRef>
              <c:f>Absatzplan!$A$28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Absatzplan!$E$28:$P$28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23A-46F2-B9DC-448AAE49C4F2}"/>
            </c:ext>
          </c:extLst>
        </c:ser>
        <c:ser>
          <c:idx val="9"/>
          <c:order val="9"/>
          <c:tx>
            <c:strRef>
              <c:f>Absatzplan!$A$29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Absatzplan!$E$29:$P$29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3A-46F2-B9DC-448AAE49C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032824"/>
        <c:axId val="1"/>
      </c:lineChart>
      <c:catAx>
        <c:axId val="38703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38703282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Umsatzerlöse netto</a:t>
            </a:r>
          </a:p>
        </c:rich>
      </c:tx>
      <c:layout>
        <c:manualLayout>
          <c:xMode val="edge"/>
          <c:yMode val="edge"/>
          <c:x val="9.9899650102739171E-3"/>
          <c:y val="2.817849823566574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Absatzplan!$A$56</c:f>
              <c:strCache>
                <c:ptCount val="1"/>
                <c:pt idx="0">
                  <c:v>Pilotprojekt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Absatzplan!$E$56:$P$56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1-43F5-8865-6C0D40C5790A}"/>
            </c:ext>
          </c:extLst>
        </c:ser>
        <c:ser>
          <c:idx val="1"/>
          <c:order val="1"/>
          <c:tx>
            <c:strRef>
              <c:f>Absatzplan!$A$57</c:f>
              <c:strCache>
                <c:ptCount val="1"/>
                <c:pt idx="0">
                  <c:v>Starter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Absatzplan!$E$57:$P$57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41-43F5-8865-6C0D40C5790A}"/>
            </c:ext>
          </c:extLst>
        </c:ser>
        <c:ser>
          <c:idx val="4"/>
          <c:order val="2"/>
          <c:tx>
            <c:strRef>
              <c:f>Absatzplan!$A$58</c:f>
              <c:strCache>
                <c:ptCount val="1"/>
                <c:pt idx="0">
                  <c:v>Professional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Absatzplan!$E$58:$P$58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2-4B80-9DE6-044C37575A49}"/>
            </c:ext>
          </c:extLst>
        </c:ser>
        <c:ser>
          <c:idx val="2"/>
          <c:order val="3"/>
          <c:tx>
            <c:strRef>
              <c:f>Absatzplan!$A$59</c:f>
              <c:strCache>
                <c:ptCount val="1"/>
                <c:pt idx="0">
                  <c:v>Enterprise Abo 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Absatzplan!$E$59:$P$59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2-4B80-9DE6-044C37575A49}"/>
            </c:ext>
          </c:extLst>
        </c:ser>
        <c:ser>
          <c:idx val="3"/>
          <c:order val="4"/>
          <c:tx>
            <c:strRef>
              <c:f>Absatzplan!$A$60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Absatzplan!$E$60:$P$60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2-4B80-9DE6-044C37575A49}"/>
            </c:ext>
          </c:extLst>
        </c:ser>
        <c:ser>
          <c:idx val="5"/>
          <c:order val="5"/>
          <c:tx>
            <c:strRef>
              <c:f>Absatzplan!$A$61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Absatzplan!$E$61:$P$61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2-4B80-9DE6-044C37575A49}"/>
            </c:ext>
          </c:extLst>
        </c:ser>
        <c:ser>
          <c:idx val="6"/>
          <c:order val="6"/>
          <c:tx>
            <c:strRef>
              <c:f>Absatzplan!$A$62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Absatzplan!$E$62:$P$62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802-4B80-9DE6-044C37575A49}"/>
            </c:ext>
          </c:extLst>
        </c:ser>
        <c:ser>
          <c:idx val="7"/>
          <c:order val="7"/>
          <c:tx>
            <c:strRef>
              <c:f>Absatzplan!$A$63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Absatzplan!$E$63:$P$63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802-4B80-9DE6-044C37575A49}"/>
            </c:ext>
          </c:extLst>
        </c:ser>
        <c:ser>
          <c:idx val="8"/>
          <c:order val="8"/>
          <c:tx>
            <c:strRef>
              <c:f>Absatzplan!$A$64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Absatzplan!$E$64:$P$64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802-4B80-9DE6-044C37575A49}"/>
            </c:ext>
          </c:extLst>
        </c:ser>
        <c:ser>
          <c:idx val="9"/>
          <c:order val="9"/>
          <c:tx>
            <c:strRef>
              <c:f>Absatzplan!$A$65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Absatzplan!$E$65:$P$65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802-4B80-9DE6-044C37575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010128"/>
        <c:axId val="1"/>
      </c:lineChart>
      <c:catAx>
        <c:axId val="38701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387010128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Rohertrag</a:t>
            </a:r>
          </a:p>
        </c:rich>
      </c:tx>
      <c:layout>
        <c:manualLayout>
          <c:xMode val="edge"/>
          <c:yMode val="edge"/>
          <c:x val="1.0921042152266369E-2"/>
          <c:y val="3.220395994190046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Absatzplan!$A$80</c:f>
              <c:strCache>
                <c:ptCount val="1"/>
                <c:pt idx="0">
                  <c:v>Pilotprojekt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Absatzplan!$E$80:$P$80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E3-43D2-B402-42CA95AA3C0C}"/>
            </c:ext>
          </c:extLst>
        </c:ser>
        <c:ser>
          <c:idx val="1"/>
          <c:order val="1"/>
          <c:tx>
            <c:strRef>
              <c:f>Absatzplan!$A$81</c:f>
              <c:strCache>
                <c:ptCount val="1"/>
                <c:pt idx="0">
                  <c:v>Starter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Absatzplan!$E$81:$P$81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E3-43D2-B402-42CA95AA3C0C}"/>
            </c:ext>
          </c:extLst>
        </c:ser>
        <c:ser>
          <c:idx val="2"/>
          <c:order val="2"/>
          <c:tx>
            <c:strRef>
              <c:f>Absatzplan!$A$82</c:f>
              <c:strCache>
                <c:ptCount val="1"/>
                <c:pt idx="0">
                  <c:v>Professional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Absatzplan!$E$82:$P$82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92-4F69-9162-23D0A3A2EFDC}"/>
            </c:ext>
          </c:extLst>
        </c:ser>
        <c:ser>
          <c:idx val="3"/>
          <c:order val="3"/>
          <c:tx>
            <c:strRef>
              <c:f>Absatzplan!$A$83</c:f>
              <c:strCache>
                <c:ptCount val="1"/>
                <c:pt idx="0">
                  <c:v>Enterprise Abo 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Absatzplan!$E$83:$P$83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92-4F69-9162-23D0A3A2EFDC}"/>
            </c:ext>
          </c:extLst>
        </c:ser>
        <c:ser>
          <c:idx val="4"/>
          <c:order val="4"/>
          <c:tx>
            <c:strRef>
              <c:f>Absatzplan!$A$84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Absatzplan!$E$84:$P$84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92-4F69-9162-23D0A3A2EFDC}"/>
            </c:ext>
          </c:extLst>
        </c:ser>
        <c:ser>
          <c:idx val="5"/>
          <c:order val="5"/>
          <c:tx>
            <c:strRef>
              <c:f>Absatzplan!$A$85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Absatzplan!$E$85:$P$85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92-4F69-9162-23D0A3A2EFDC}"/>
            </c:ext>
          </c:extLst>
        </c:ser>
        <c:ser>
          <c:idx val="6"/>
          <c:order val="6"/>
          <c:tx>
            <c:strRef>
              <c:f>Absatzplan!$A$86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Absatzplan!$E$86:$P$86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92-4F69-9162-23D0A3A2EFDC}"/>
            </c:ext>
          </c:extLst>
        </c:ser>
        <c:ser>
          <c:idx val="7"/>
          <c:order val="7"/>
          <c:tx>
            <c:strRef>
              <c:f>Absatzplan!$A$87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Absatzplan!$E$87:$P$87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92-4F69-9162-23D0A3A2EFDC}"/>
            </c:ext>
          </c:extLst>
        </c:ser>
        <c:ser>
          <c:idx val="8"/>
          <c:order val="8"/>
          <c:tx>
            <c:strRef>
              <c:f>Absatzplan!$A$88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Absatzplan!$E$88:$P$88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92-4F69-9162-23D0A3A2EFDC}"/>
            </c:ext>
          </c:extLst>
        </c:ser>
        <c:ser>
          <c:idx val="9"/>
          <c:order val="9"/>
          <c:tx>
            <c:strRef>
              <c:f>Absatzplan!$A$89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Absatzplan!$E$89:$P$89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92-4F69-9162-23D0A3A2E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113264"/>
        <c:axId val="1"/>
      </c:lineChart>
      <c:catAx>
        <c:axId val="39311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39311326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 </a:t>
            </a:r>
          </a:p>
        </c:rich>
      </c:tx>
      <c:layout>
        <c:manualLayout>
          <c:xMode val="edge"/>
          <c:yMode val="edge"/>
          <c:x val="1.0920977263874995E-2"/>
          <c:y val="3.220395395781006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Absatzplan!$A$20</c:f>
              <c:strCache>
                <c:ptCount val="1"/>
                <c:pt idx="0">
                  <c:v>Pilotprojekt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Absatzplan!$Q$20:$T$20</c:f>
              <c:numCache>
                <c:formatCode>#,##0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A3-4B9D-975A-E870DC86C292}"/>
            </c:ext>
          </c:extLst>
        </c:ser>
        <c:ser>
          <c:idx val="1"/>
          <c:order val="1"/>
          <c:tx>
            <c:strRef>
              <c:f>Absatzplan!$A$21</c:f>
              <c:strCache>
                <c:ptCount val="1"/>
                <c:pt idx="0">
                  <c:v>Starter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Absatzplan!$Q$21:$T$21</c:f>
              <c:numCache>
                <c:formatCode>#,##0</c:formatCode>
                <c:ptCount val="4"/>
                <c:pt idx="0">
                  <c:v>0</c:v>
                </c:pt>
                <c:pt idx="1">
                  <c:v>12</c:v>
                </c:pt>
                <c:pt idx="2">
                  <c:v>24</c:v>
                </c:pt>
                <c:pt idx="3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A3-4B9D-975A-E870DC86C292}"/>
            </c:ext>
          </c:extLst>
        </c:ser>
        <c:ser>
          <c:idx val="2"/>
          <c:order val="2"/>
          <c:tx>
            <c:strRef>
              <c:f>Absatzplan!$A$22</c:f>
              <c:strCache>
                <c:ptCount val="1"/>
                <c:pt idx="0">
                  <c:v>Professional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Absatzplan!$Q$22:$T$22</c:f>
              <c:numCache>
                <c:formatCode>#,##0</c:formatCode>
                <c:ptCount val="4"/>
                <c:pt idx="0">
                  <c:v>0</c:v>
                </c:pt>
                <c:pt idx="1">
                  <c:v>8</c:v>
                </c:pt>
                <c:pt idx="2">
                  <c:v>16</c:v>
                </c:pt>
                <c:pt idx="3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AC-4DBB-83F8-C91D05DED7B6}"/>
            </c:ext>
          </c:extLst>
        </c:ser>
        <c:ser>
          <c:idx val="3"/>
          <c:order val="3"/>
          <c:tx>
            <c:strRef>
              <c:f>Absatzplan!$A$23</c:f>
              <c:strCache>
                <c:ptCount val="1"/>
                <c:pt idx="0">
                  <c:v>Enterprise Abo 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Absatzplan!$Q$23:$T$23</c:f>
              <c:numCache>
                <c:formatCode>#,##0</c:formatCode>
                <c:ptCount val="4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AC-4DBB-83F8-C91D05DED7B6}"/>
            </c:ext>
          </c:extLst>
        </c:ser>
        <c:ser>
          <c:idx val="4"/>
          <c:order val="4"/>
          <c:tx>
            <c:strRef>
              <c:f>Absatzplan!$A$24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Absatzplan!$Q$24:$T$24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AC-4DBB-83F8-C91D05DED7B6}"/>
            </c:ext>
          </c:extLst>
        </c:ser>
        <c:ser>
          <c:idx val="5"/>
          <c:order val="5"/>
          <c:tx>
            <c:strRef>
              <c:f>Absatzplan!$A$25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Absatzplan!$Q$25:$T$25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7AC-4DBB-83F8-C91D05DED7B6}"/>
            </c:ext>
          </c:extLst>
        </c:ser>
        <c:ser>
          <c:idx val="6"/>
          <c:order val="6"/>
          <c:tx>
            <c:strRef>
              <c:f>Absatzplan!$A$26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Absatzplan!$Q$26:$T$26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7AC-4DBB-83F8-C91D05DED7B6}"/>
            </c:ext>
          </c:extLst>
        </c:ser>
        <c:ser>
          <c:idx val="7"/>
          <c:order val="7"/>
          <c:tx>
            <c:strRef>
              <c:f>Absatzplan!$A$27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Absatzplan!$Q$27:$T$27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7AC-4DBB-83F8-C91D05DED7B6}"/>
            </c:ext>
          </c:extLst>
        </c:ser>
        <c:ser>
          <c:idx val="8"/>
          <c:order val="8"/>
          <c:tx>
            <c:strRef>
              <c:f>Absatzplan!$A$28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Absatzplan!$Q$28:$T$28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7AC-4DBB-83F8-C91D05DED7B6}"/>
            </c:ext>
          </c:extLst>
        </c:ser>
        <c:ser>
          <c:idx val="9"/>
          <c:order val="9"/>
          <c:tx>
            <c:strRef>
              <c:f>Absatzplan!$A$29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Absatzplan!$Q$29:$T$29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7AC-4DBB-83F8-C91D05DED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3558200"/>
        <c:axId val="1"/>
      </c:lineChart>
      <c:catAx>
        <c:axId val="543558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3558200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 </a:t>
            </a:r>
          </a:p>
        </c:rich>
      </c:tx>
      <c:layout>
        <c:manualLayout>
          <c:xMode val="edge"/>
          <c:yMode val="edge"/>
          <c:x val="9.9899951885257798E-3"/>
          <c:y val="2.817849823566574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Absatzplan!$A$56</c:f>
              <c:strCache>
                <c:ptCount val="1"/>
                <c:pt idx="0">
                  <c:v>Pilotprojekt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Absatzplan!$Q$56:$T$56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B5-437A-8453-3A25E62E7376}"/>
            </c:ext>
          </c:extLst>
        </c:ser>
        <c:ser>
          <c:idx val="1"/>
          <c:order val="1"/>
          <c:tx>
            <c:strRef>
              <c:f>Absatzplan!$A$57</c:f>
              <c:strCache>
                <c:ptCount val="1"/>
                <c:pt idx="0">
                  <c:v>Starter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Absatzplan!$Q$57:$T$57</c:f>
              <c:numCache>
                <c:formatCode>#,##0</c:formatCode>
                <c:ptCount val="4"/>
                <c:pt idx="0">
                  <c:v>0</c:v>
                </c:pt>
                <c:pt idx="1">
                  <c:v>18000</c:v>
                </c:pt>
                <c:pt idx="2">
                  <c:v>36000</c:v>
                </c:pt>
                <c:pt idx="3">
                  <c:v>54000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B5-437A-8453-3A25E62E7376}"/>
            </c:ext>
          </c:extLst>
        </c:ser>
        <c:ser>
          <c:idx val="2"/>
          <c:order val="2"/>
          <c:tx>
            <c:strRef>
              <c:f>Absatzplan!$A$58</c:f>
              <c:strCache>
                <c:ptCount val="1"/>
                <c:pt idx="0">
                  <c:v>Professional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Absatzplan!$Q$58:$T$58</c:f>
              <c:numCache>
                <c:formatCode>#,##0</c:formatCode>
                <c:ptCount val="4"/>
                <c:pt idx="0">
                  <c:v>0</c:v>
                </c:pt>
                <c:pt idx="1">
                  <c:v>24000</c:v>
                </c:pt>
                <c:pt idx="2">
                  <c:v>48000</c:v>
                </c:pt>
                <c:pt idx="3">
                  <c:v>72000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4A-44E2-86EE-B8A3C2BA14D3}"/>
            </c:ext>
          </c:extLst>
        </c:ser>
        <c:ser>
          <c:idx val="3"/>
          <c:order val="3"/>
          <c:tx>
            <c:strRef>
              <c:f>Absatzplan!$A$59</c:f>
              <c:strCache>
                <c:ptCount val="1"/>
                <c:pt idx="0">
                  <c:v>Enterprise Abo 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Absatzplan!$Q$59:$T$59</c:f>
              <c:numCache>
                <c:formatCode>#,##0</c:formatCode>
                <c:ptCount val="4"/>
                <c:pt idx="0">
                  <c:v>0</c:v>
                </c:pt>
                <c:pt idx="1">
                  <c:v>28800</c:v>
                </c:pt>
                <c:pt idx="2">
                  <c:v>57600</c:v>
                </c:pt>
                <c:pt idx="3">
                  <c:v>86400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4A-44E2-86EE-B8A3C2BA14D3}"/>
            </c:ext>
          </c:extLst>
        </c:ser>
        <c:ser>
          <c:idx val="4"/>
          <c:order val="4"/>
          <c:tx>
            <c:strRef>
              <c:f>Absatzplan!$A$60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Absatzplan!$Q$60:$T$60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4A-44E2-86EE-B8A3C2BA14D3}"/>
            </c:ext>
          </c:extLst>
        </c:ser>
        <c:ser>
          <c:idx val="5"/>
          <c:order val="5"/>
          <c:tx>
            <c:strRef>
              <c:f>Absatzplan!$A$61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Absatzplan!$Q$61:$T$61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4A-44E2-86EE-B8A3C2BA14D3}"/>
            </c:ext>
          </c:extLst>
        </c:ser>
        <c:ser>
          <c:idx val="6"/>
          <c:order val="6"/>
          <c:tx>
            <c:strRef>
              <c:f>Absatzplan!$A$62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Absatzplan!$Q$62:$T$62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4A-44E2-86EE-B8A3C2BA14D3}"/>
            </c:ext>
          </c:extLst>
        </c:ser>
        <c:ser>
          <c:idx val="7"/>
          <c:order val="7"/>
          <c:tx>
            <c:strRef>
              <c:f>Absatzplan!$A$63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Absatzplan!$Q$63:$T$63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4A-44E2-86EE-B8A3C2BA14D3}"/>
            </c:ext>
          </c:extLst>
        </c:ser>
        <c:ser>
          <c:idx val="8"/>
          <c:order val="8"/>
          <c:tx>
            <c:strRef>
              <c:f>Absatzplan!$A$64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Absatzplan!$Q$64:$T$64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4A-44E2-86EE-B8A3C2BA14D3}"/>
            </c:ext>
          </c:extLst>
        </c:ser>
        <c:ser>
          <c:idx val="9"/>
          <c:order val="9"/>
          <c:tx>
            <c:strRef>
              <c:f>Absatzplan!$A$65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Absatzplan!$Q$65:$T$65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4A-44E2-86EE-B8A3C2BA14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500976"/>
        <c:axId val="1"/>
      </c:lineChart>
      <c:catAx>
        <c:axId val="55550097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55500976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 </a:t>
            </a:r>
          </a:p>
        </c:rich>
      </c:tx>
      <c:layout>
        <c:manualLayout>
          <c:xMode val="edge"/>
          <c:yMode val="edge"/>
          <c:x val="1.0920977263874995E-2"/>
          <c:y val="3.2203959941900465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Absatzplan!$A$80</c:f>
              <c:strCache>
                <c:ptCount val="1"/>
                <c:pt idx="0">
                  <c:v>Pilotprojekt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Absatzplan!$Q$80:$T$80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C4-476D-B245-91DBE54CFC82}"/>
            </c:ext>
          </c:extLst>
        </c:ser>
        <c:ser>
          <c:idx val="1"/>
          <c:order val="1"/>
          <c:tx>
            <c:strRef>
              <c:f>Absatzplan!$A$81</c:f>
              <c:strCache>
                <c:ptCount val="1"/>
                <c:pt idx="0">
                  <c:v>Starter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Absatzplan!$Q$81:$T$81</c:f>
              <c:numCache>
                <c:formatCode>#,##0</c:formatCode>
                <c:ptCount val="4"/>
                <c:pt idx="0">
                  <c:v>0</c:v>
                </c:pt>
                <c:pt idx="1">
                  <c:v>18000</c:v>
                </c:pt>
                <c:pt idx="2">
                  <c:v>36000</c:v>
                </c:pt>
                <c:pt idx="3">
                  <c:v>54000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C4-476D-B245-91DBE54CFC82}"/>
            </c:ext>
          </c:extLst>
        </c:ser>
        <c:ser>
          <c:idx val="2"/>
          <c:order val="2"/>
          <c:tx>
            <c:strRef>
              <c:f>Absatzplan!$A$82</c:f>
              <c:strCache>
                <c:ptCount val="1"/>
                <c:pt idx="0">
                  <c:v>Professional Abo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Absatzplan!$Q$82:$T$82</c:f>
              <c:numCache>
                <c:formatCode>#,##0</c:formatCode>
                <c:ptCount val="4"/>
                <c:pt idx="0">
                  <c:v>0</c:v>
                </c:pt>
                <c:pt idx="1">
                  <c:v>24000</c:v>
                </c:pt>
                <c:pt idx="2">
                  <c:v>48000</c:v>
                </c:pt>
                <c:pt idx="3">
                  <c:v>72000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5-4F71-A7EC-50B911549EDE}"/>
            </c:ext>
          </c:extLst>
        </c:ser>
        <c:ser>
          <c:idx val="3"/>
          <c:order val="3"/>
          <c:tx>
            <c:strRef>
              <c:f>Absatzplan!$A$83</c:f>
              <c:strCache>
                <c:ptCount val="1"/>
                <c:pt idx="0">
                  <c:v>Enterprise Abo 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Absatzplan!$Q$83:$T$83</c:f>
              <c:numCache>
                <c:formatCode>#,##0</c:formatCode>
                <c:ptCount val="4"/>
                <c:pt idx="0">
                  <c:v>0</c:v>
                </c:pt>
                <c:pt idx="1">
                  <c:v>28800</c:v>
                </c:pt>
                <c:pt idx="2">
                  <c:v>57600</c:v>
                </c:pt>
                <c:pt idx="3">
                  <c:v>86400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5-4F71-A7EC-50B911549EDE}"/>
            </c:ext>
          </c:extLst>
        </c:ser>
        <c:ser>
          <c:idx val="4"/>
          <c:order val="4"/>
          <c:tx>
            <c:strRef>
              <c:f>Absatzplan!$A$84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Absatzplan!$Q$84:$T$84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5-4F71-A7EC-50B911549EDE}"/>
            </c:ext>
          </c:extLst>
        </c:ser>
        <c:ser>
          <c:idx val="5"/>
          <c:order val="5"/>
          <c:tx>
            <c:strRef>
              <c:f>Absatzplan!$A$85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Absatzplan!$Q$85:$T$85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35-4F71-A7EC-50B911549EDE}"/>
            </c:ext>
          </c:extLst>
        </c:ser>
        <c:ser>
          <c:idx val="6"/>
          <c:order val="6"/>
          <c:tx>
            <c:strRef>
              <c:f>Absatzplan!$A$86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Absatzplan!$Q$86:$T$86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35-4F71-A7EC-50B911549EDE}"/>
            </c:ext>
          </c:extLst>
        </c:ser>
        <c:ser>
          <c:idx val="7"/>
          <c:order val="7"/>
          <c:tx>
            <c:strRef>
              <c:f>Absatzplan!$A$87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Absatzplan!$Q$87:$T$87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035-4F71-A7EC-50B911549EDE}"/>
            </c:ext>
          </c:extLst>
        </c:ser>
        <c:ser>
          <c:idx val="8"/>
          <c:order val="8"/>
          <c:tx>
            <c:strRef>
              <c:f>Absatzplan!$A$88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Absatzplan!$Q$88:$T$88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035-4F71-A7EC-50B911549EDE}"/>
            </c:ext>
          </c:extLst>
        </c:ser>
        <c:ser>
          <c:idx val="9"/>
          <c:order val="9"/>
          <c:tx>
            <c:strRef>
              <c:f>Absatzplan!$A$89</c:f>
              <c:strCache>
                <c:ptCount val="1"/>
                <c:pt idx="0">
                  <c:v>0%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Absatzplan!$Q$89:$T$89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035-4F71-A7EC-50B911549E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501304"/>
        <c:axId val="1"/>
      </c:lineChart>
      <c:catAx>
        <c:axId val="5555013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55501304"/>
        <c:crosses val="autoZero"/>
        <c:crossBetween val="between"/>
      </c:valAx>
    </c:plotArea>
    <c:legend>
      <c:legendPos val="t"/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     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289219688537675E-2"/>
          <c:y val="9.4335770117851409E-2"/>
          <c:w val="0.90452977795729317"/>
          <c:h val="0.8689914472889575"/>
        </c:manualLayout>
      </c:layout>
      <c:lineChart>
        <c:grouping val="standard"/>
        <c:varyColors val="0"/>
        <c:ser>
          <c:idx val="0"/>
          <c:order val="0"/>
          <c:tx>
            <c:strRef>
              <c:f>'Plan-G&amp;V'!$A$10</c:f>
              <c:strCache>
                <c:ptCount val="1"/>
                <c:pt idx="0">
                  <c:v>Umsatzerlöse netto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'Plan-G&amp;V'!$Q$7:$T$7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'Plan-G&amp;V'!$Q$10:$T$10</c:f>
              <c:numCache>
                <c:formatCode>#,##0</c:formatCode>
                <c:ptCount val="4"/>
                <c:pt idx="0">
                  <c:v>0</c:v>
                </c:pt>
                <c:pt idx="1">
                  <c:v>70800</c:v>
                </c:pt>
                <c:pt idx="2">
                  <c:v>141600</c:v>
                </c:pt>
                <c:pt idx="3">
                  <c:v>212400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26-4ED2-9A56-2BEE4AE1B9DD}"/>
            </c:ext>
          </c:extLst>
        </c:ser>
        <c:ser>
          <c:idx val="1"/>
          <c:order val="1"/>
          <c:tx>
            <c:strRef>
              <c:f>'Plan-G&amp;V'!$A$13</c:f>
              <c:strCache>
                <c:ptCount val="1"/>
                <c:pt idx="0">
                  <c:v>Rohertrag (Bruttogewinn) inkl. Best.ver.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'Plan-G&amp;V'!$Q$7:$T$7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'Plan-G&amp;V'!$Q$13:$T$13</c:f>
              <c:numCache>
                <c:formatCode>#\ ##0_ ;[Red]\-#\ ##0\ </c:formatCode>
                <c:ptCount val="4"/>
                <c:pt idx="0">
                  <c:v>0</c:v>
                </c:pt>
                <c:pt idx="1">
                  <c:v>70800</c:v>
                </c:pt>
                <c:pt idx="2">
                  <c:v>141600</c:v>
                </c:pt>
                <c:pt idx="3">
                  <c:v>212400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26-4ED2-9A56-2BEE4AE1B9DD}"/>
            </c:ext>
          </c:extLst>
        </c:ser>
        <c:ser>
          <c:idx val="2"/>
          <c:order val="2"/>
          <c:tx>
            <c:v>Ergebnis vor Steuer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'Plan-G&amp;V'!$Q$7:$T$7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'Plan-G&amp;V'!$Q$40:$T$40</c:f>
              <c:numCache>
                <c:formatCode>#\ ##0_ ;[Red]\-#\ ##0\ </c:formatCode>
                <c:ptCount val="4"/>
                <c:pt idx="0" formatCode="#,##0">
                  <c:v>-10900</c:v>
                </c:pt>
                <c:pt idx="1">
                  <c:v>17060</c:v>
                </c:pt>
                <c:pt idx="2">
                  <c:v>73760</c:v>
                </c:pt>
                <c:pt idx="3">
                  <c:v>96020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26-4ED2-9A56-2BEE4AE1B9DD}"/>
            </c:ext>
          </c:extLst>
        </c:ser>
        <c:ser>
          <c:idx val="3"/>
          <c:order val="3"/>
          <c:tx>
            <c:strRef>
              <c:f>'Plan-G&amp;V'!$A$43:$C$43</c:f>
              <c:strCache>
                <c:ptCount val="3"/>
                <c:pt idx="0">
                  <c:v>Periodenergebnis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'Plan-G&amp;V'!$Q$7:$T$7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'Plan-G&amp;V'!$Q$43:$T$43</c:f>
              <c:numCache>
                <c:formatCode>#\ ##0_ ;[Red]\-#\ ##0\ </c:formatCode>
                <c:ptCount val="4"/>
                <c:pt idx="0">
                  <c:v>-11108.333333333334</c:v>
                </c:pt>
                <c:pt idx="1">
                  <c:v>15851.533333333333</c:v>
                </c:pt>
                <c:pt idx="2">
                  <c:v>56795.199999999997</c:v>
                </c:pt>
                <c:pt idx="3">
                  <c:v>73935.399999999994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26-4ED2-9A56-2BEE4AE1B9DD}"/>
            </c:ext>
          </c:extLst>
        </c:ser>
        <c:ser>
          <c:idx val="5"/>
          <c:order val="4"/>
          <c:tx>
            <c:v>Periodenerg. - Ausschüttung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'Plan-G&amp;V'!$Q$7:$T$7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'Plan-G&amp;V'!$Q$53:$T$53</c:f>
              <c:numCache>
                <c:formatCode>0</c:formatCode>
                <c:ptCount val="4"/>
                <c:pt idx="0">
                  <c:v>-11108.333333333334</c:v>
                </c:pt>
                <c:pt idx="1">
                  <c:v>15851.533333333333</c:v>
                </c:pt>
                <c:pt idx="2">
                  <c:v>56795.199999999997</c:v>
                </c:pt>
                <c:pt idx="3">
                  <c:v>73935.399999999994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B26-4ED2-9A56-2BEE4AE1B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516560"/>
        <c:axId val="1"/>
      </c:lineChart>
      <c:catAx>
        <c:axId val="5555165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55516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2.9052031148507903E-2"/>
          <c:y val="2.7718550106609809E-2"/>
          <c:w val="0.946484593732968"/>
          <c:h val="1.9189765458422176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Periodenergebnis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1944236248466322E-2"/>
          <c:y val="0.13085824868276591"/>
          <c:w val="0.89583315261309082"/>
          <c:h val="0.82733596874039184"/>
        </c:manualLayout>
      </c:layout>
      <c:lineChart>
        <c:grouping val="standard"/>
        <c:varyColors val="0"/>
        <c:ser>
          <c:idx val="3"/>
          <c:order val="0"/>
          <c:tx>
            <c:v>Periodenergebnis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('Plan-G&amp;V'!$F$7,'Plan-G&amp;V'!$I$7,'Plan-G&amp;V'!$L$7,'Plan-G&amp;V'!$O$7)</c:f>
              <c:strCache>
                <c:ptCount val="4"/>
                <c:pt idx="0">
                  <c:v>Feb</c:v>
                </c:pt>
                <c:pt idx="1">
                  <c:v>Mai</c:v>
                </c:pt>
                <c:pt idx="2">
                  <c:v>Aug</c:v>
                </c:pt>
                <c:pt idx="3">
                  <c:v>Nov</c:v>
                </c:pt>
              </c:strCache>
            </c:strRef>
          </c:cat>
          <c:val>
            <c:numRef>
              <c:f>('Plan-G&amp;V'!$F$43,'Plan-G&amp;V'!$I$43,'Plan-G&amp;V'!$L$43,'Plan-G&amp;V'!$O$43)</c:f>
              <c:numCache>
                <c:formatCode>#\ ##0_ ;[Red]\-#\ ##0\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-4373.333333333333</c:v>
                </c:pt>
                <c:pt idx="3">
                  <c:v>-6735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63-49C0-9ECB-06C14A75F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511312"/>
        <c:axId val="1"/>
      </c:lineChart>
      <c:catAx>
        <c:axId val="55551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\ ##0_ ;[Red]\-#\ ##0\ 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555113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3983006338822822"/>
          <c:y val="8.6111344703083501E-2"/>
          <c:w val="0.12034091322728761"/>
          <c:h val="5.0000135634048488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>
      <c:oddFooter>&amp;L&amp;N&amp;ZDiese Tab. wurde sorgfältig erstellt, berücksichtigt rechtl. Bestimmungen, liefert Planwerte und dient als Arbeitshilfe,
erhebt aber keinen Anspruch auf 100%ige Richtigkeit. Für daraus entstehende Schäden wird keine Haftung übernommen!&amp;R&amp;D, 5/10</c:oddFooter>
    </c:headerFooter>
    <c:pageMargins b="0.78740157480314965" l="0.70866141732283472" r="0.70866141732283472" t="0.78740157480314965" header="0.31496062992125984" footer="0.31496062992125984"/>
    <c:pageSetup paperSize="9" orientation="landscape" horizontalDpi="0" verticalDpi="0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Plan-Gewinn- und Verlustrechnung</a:t>
            </a:r>
          </a:p>
        </c:rich>
      </c:tx>
      <c:layout>
        <c:manualLayout>
          <c:xMode val="edge"/>
          <c:yMode val="edge"/>
          <c:x val="1.0921042152266369E-2"/>
          <c:y val="3.220391451068616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824979814722416E-2"/>
          <c:y val="9.7827738530455774E-2"/>
          <c:w val="0.91825928610077878"/>
          <c:h val="0.84392870676666953"/>
        </c:manualLayout>
      </c:layout>
      <c:lineChart>
        <c:grouping val="standard"/>
        <c:varyColors val="0"/>
        <c:ser>
          <c:idx val="0"/>
          <c:order val="0"/>
          <c:tx>
            <c:strRef>
              <c:f>'Plan-G&amp;V'!$A$10</c:f>
              <c:strCache>
                <c:ptCount val="1"/>
                <c:pt idx="0">
                  <c:v>Umsatzerlöse netto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'Plan-G&amp;V'!$E$7:$P$7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'Plan-G&amp;V'!$E$10:$P$10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90-4EB8-A2CF-08FE8ACCD6A5}"/>
            </c:ext>
          </c:extLst>
        </c:ser>
        <c:ser>
          <c:idx val="1"/>
          <c:order val="1"/>
          <c:tx>
            <c:strRef>
              <c:f>'Plan-G&amp;V'!$A$13</c:f>
              <c:strCache>
                <c:ptCount val="1"/>
                <c:pt idx="0">
                  <c:v>Rohertrag (Bruttogewinn) inkl. Best.ver.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'Plan-G&amp;V'!$E$7:$P$7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'Plan-G&amp;V'!$E$13:$P$13</c:f>
              <c:numCache>
                <c:formatCode>#\ ##0_ ;[Red]\-#\ ##0\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90-4EB8-A2CF-08FE8ACCD6A5}"/>
            </c:ext>
          </c:extLst>
        </c:ser>
        <c:ser>
          <c:idx val="2"/>
          <c:order val="2"/>
          <c:tx>
            <c:v>Ergebnis vor Steuer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'Plan-G&amp;V'!$E$7:$P$7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'Plan-G&amp;V'!$E$40:$P$40</c:f>
              <c:numCache>
                <c:formatCode>#\ ##0_ ;[Red]\-#\ ##0\ 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-2320</c:v>
                </c:pt>
                <c:pt idx="8">
                  <c:v>-1970</c:v>
                </c:pt>
                <c:pt idx="9">
                  <c:v>-2020</c:v>
                </c:pt>
                <c:pt idx="10">
                  <c:v>-2070</c:v>
                </c:pt>
                <c:pt idx="11">
                  <c:v>-2520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90-4EB8-A2CF-08FE8ACCD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583256"/>
        <c:axId val="1"/>
      </c:lineChart>
      <c:catAx>
        <c:axId val="555583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555832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1583429269964955"/>
          <c:y val="4.7190394159461496E-2"/>
          <c:w val="0.48668847207849947"/>
          <c:h val="3.0874811450414284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Investitionen</a:t>
            </a:r>
          </a:p>
        </c:rich>
      </c:tx>
      <c:layout>
        <c:manualLayout>
          <c:xMode val="edge"/>
          <c:yMode val="edge"/>
          <c:x val="9.7320286076849963E-3"/>
          <c:y val="2.81784982356657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824979814722416E-2"/>
          <c:y val="0.16726005380391151"/>
          <c:w val="0.93640175839200035"/>
          <c:h val="0.73315857756104585"/>
        </c:manualLayout>
      </c:layout>
      <c:lineChart>
        <c:grouping val="standard"/>
        <c:varyColors val="0"/>
        <c:ser>
          <c:idx val="0"/>
          <c:order val="0"/>
          <c:tx>
            <c:v>Anschaffungkosten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Investitionsplan!$D$12:$O$12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Investitionsplan!$D$23:$O$23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1500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DE-4E25-9E21-76250D3CE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73800"/>
        <c:axId val="1"/>
      </c:lineChart>
      <c:catAx>
        <c:axId val="547673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76738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3557020805274899"/>
          <c:y val="0.10557184750733138"/>
          <c:w val="0.12779566006437623"/>
          <c:h val="5.278592375366569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0" verticalDpi="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Abschreibungen</a:t>
            </a:r>
          </a:p>
        </c:rich>
      </c:tx>
      <c:layout>
        <c:manualLayout>
          <c:xMode val="edge"/>
          <c:yMode val="edge"/>
          <c:x val="1.0673087644219793E-2"/>
          <c:y val="2.81784982356657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824979814722416E-2"/>
          <c:y val="0.16726005380391151"/>
          <c:w val="0.93765360047108559"/>
          <c:h val="0.73315857756104585"/>
        </c:manualLayout>
      </c:layout>
      <c:lineChart>
        <c:grouping val="standard"/>
        <c:varyColors val="0"/>
        <c:ser>
          <c:idx val="1"/>
          <c:order val="0"/>
          <c:tx>
            <c:v>Abschreibungwerte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Investitionsplan!$D$12:$O$12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Investitionsplan!$D$43:$O$43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01-43D3-9AEE-5D5F6B821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034264"/>
        <c:axId val="1"/>
      </c:lineChart>
      <c:catAx>
        <c:axId val="541034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1034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3450524421887921"/>
          <c:y val="0.10557184750733138"/>
          <c:w val="0.12886062389824604"/>
          <c:h val="5.278592375366569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Restbuchwerte</a:t>
            </a:r>
          </a:p>
        </c:rich>
      </c:tx>
      <c:layout>
        <c:manualLayout>
          <c:xMode val="edge"/>
          <c:yMode val="edge"/>
          <c:x val="1.0673087644219793E-2"/>
          <c:y val="2.81784982356657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824979814722416E-2"/>
          <c:y val="0.16726005380391151"/>
          <c:w val="0.93722449081672654"/>
          <c:h val="0.73315857756104585"/>
        </c:manualLayout>
      </c:layout>
      <c:lineChart>
        <c:grouping val="standard"/>
        <c:varyColors val="0"/>
        <c:ser>
          <c:idx val="2"/>
          <c:order val="0"/>
          <c:tx>
            <c:v>Restbuchwerte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Investitionsplan!$D$12:$O$12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Investitionsplan!$D$44:$O$44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1450</c:v>
                </c:pt>
                <c:pt idx="8">
                  <c:v>1400</c:v>
                </c:pt>
                <c:pt idx="9">
                  <c:v>1350</c:v>
                </c:pt>
                <c:pt idx="10">
                  <c:v>1300</c:v>
                </c:pt>
                <c:pt idx="11">
                  <c:v>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BE-4871-8A07-3E020541A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030000"/>
        <c:axId val="1"/>
      </c:lineChart>
      <c:catAx>
        <c:axId val="54103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103000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4515488255757718"/>
          <c:y val="0.10557184750733138"/>
          <c:w val="0.1096912748885896"/>
          <c:h val="5.278592375366569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</a:t>
            </a:r>
          </a:p>
        </c:rich>
      </c:tx>
      <c:layout>
        <c:manualLayout>
          <c:xMode val="edge"/>
          <c:yMode val="edge"/>
          <c:x val="9.7320085231829053E-3"/>
          <c:y val="2.81784982356657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2874205143278665E-2"/>
          <c:y val="0.16726005380391151"/>
          <c:w val="0.90240564353332997"/>
          <c:h val="0.73315857756104585"/>
        </c:manualLayout>
      </c:layout>
      <c:lineChart>
        <c:grouping val="standard"/>
        <c:varyColors val="0"/>
        <c:ser>
          <c:idx val="0"/>
          <c:order val="0"/>
          <c:tx>
            <c:v>Anschaffungkosten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(Investitionsplan!$P$12,Investitionsplan!$R$12,Investitionsplan!$T$12,Investitionsplan!$V$12)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(Investitionsplan!$P$23,Investitionsplan!$R$23,Investitionsplan!$T$23,Investitionsplan!$V$23)</c:f>
              <c:numCache>
                <c:formatCode>#,##0</c:formatCode>
                <c:ptCount val="4"/>
                <c:pt idx="0">
                  <c:v>1500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77-4DEA-A55B-EFC7B7FC6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028688"/>
        <c:axId val="1"/>
      </c:lineChart>
      <c:catAx>
        <c:axId val="5410286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102868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735068912710565"/>
          <c:y val="0.10557184750733138"/>
          <c:w val="0.18376722817764166"/>
          <c:h val="5.278592375366569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</a:t>
            </a:r>
          </a:p>
        </c:rich>
      </c:tx>
      <c:layout>
        <c:manualLayout>
          <c:xMode val="edge"/>
          <c:yMode val="edge"/>
          <c:x val="1.0673071782613014E-2"/>
          <c:y val="2.81784982356657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2874205143278665E-2"/>
          <c:y val="0.16726005380391151"/>
          <c:w val="0.90420519996016102"/>
          <c:h val="0.73315857756104585"/>
        </c:manualLayout>
      </c:layout>
      <c:lineChart>
        <c:grouping val="standard"/>
        <c:varyColors val="0"/>
        <c:ser>
          <c:idx val="1"/>
          <c:order val="0"/>
          <c:tx>
            <c:v>Abschreibungwerte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(Investitionsplan!$P$12,Investitionsplan!$R$12,Investitionsplan!$T$12,Investitionsplan!$V$12)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(Investitionsplan!$P$43,Investitionsplan!$R$43,Investitionsplan!$T$43,Investitionsplan!$V$43)</c:f>
              <c:numCache>
                <c:formatCode>#,##0</c:formatCode>
                <c:ptCount val="4"/>
                <c:pt idx="0">
                  <c:v>250</c:v>
                </c:pt>
                <c:pt idx="1">
                  <c:v>500</c:v>
                </c:pt>
                <c:pt idx="2">
                  <c:v>500</c:v>
                </c:pt>
                <c:pt idx="3">
                  <c:v>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01-4680-99EA-B733033D2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033608"/>
        <c:axId val="1"/>
      </c:lineChart>
      <c:catAx>
        <c:axId val="5410336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10336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888208269525267"/>
          <c:y val="0.10557184750733138"/>
          <c:w val="0.18529862174578868"/>
          <c:h val="5.278592375366569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 </a:t>
            </a:r>
          </a:p>
        </c:rich>
      </c:tx>
      <c:layout>
        <c:manualLayout>
          <c:xMode val="edge"/>
          <c:yMode val="edge"/>
          <c:x val="1.0673071782613014E-2"/>
          <c:y val="2.817849823566574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2874205143278665E-2"/>
          <c:y val="0.16726005380391151"/>
          <c:w val="0.90358834337000626"/>
          <c:h val="0.73315857756104585"/>
        </c:manualLayout>
      </c:layout>
      <c:lineChart>
        <c:grouping val="standard"/>
        <c:varyColors val="0"/>
        <c:ser>
          <c:idx val="2"/>
          <c:order val="0"/>
          <c:tx>
            <c:v>Restbuchwerte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(Investitionsplan!$P$12,Investitionsplan!$R$12,Investitionsplan!$T$12,Investitionsplan!$V$12)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(Investitionsplan!$Q$43,Investitionsplan!$S$43,Investitionsplan!$U$43,Investitionsplan!$W$43)</c:f>
              <c:numCache>
                <c:formatCode>#,##0</c:formatCode>
                <c:ptCount val="4"/>
                <c:pt idx="0">
                  <c:v>1250</c:v>
                </c:pt>
                <c:pt idx="1">
                  <c:v>750</c:v>
                </c:pt>
                <c:pt idx="2">
                  <c:v>250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33-4447-8D72-63D8CC46E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5511640"/>
        <c:axId val="1"/>
      </c:lineChart>
      <c:catAx>
        <c:axId val="55551164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55511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2113323124042878"/>
          <c:y val="0.10557184750733138"/>
          <c:w val="0.15773353751914243"/>
          <c:h val="5.278592375366569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Finanzierungsplan</a:t>
            </a:r>
          </a:p>
        </c:rich>
      </c:tx>
      <c:layout>
        <c:manualLayout>
          <c:xMode val="edge"/>
          <c:yMode val="edge"/>
          <c:x val="5.3059491312059566E-3"/>
          <c:y val="1.006858013716027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8710761504594309E-2"/>
          <c:y val="0.11062003819075812"/>
          <c:w val="0.90835878343751641"/>
          <c:h val="0.86383454778011692"/>
        </c:manualLayout>
      </c:layout>
      <c:lineChart>
        <c:grouping val="standard"/>
        <c:varyColors val="0"/>
        <c:ser>
          <c:idx val="0"/>
          <c:order val="0"/>
          <c:tx>
            <c:strRef>
              <c:f>Finanzplan!$A$21</c:f>
              <c:strCache>
                <c:ptCount val="1"/>
                <c:pt idx="0">
                  <c:v>Cashflow lfd. Betrieb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Finanzplan!$E$21:$P$21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-2414</c:v>
                </c:pt>
                <c:pt idx="8">
                  <c:v>-1994</c:v>
                </c:pt>
                <c:pt idx="9">
                  <c:v>-1910</c:v>
                </c:pt>
                <c:pt idx="10">
                  <c:v>-2248.3333333333335</c:v>
                </c:pt>
                <c:pt idx="11">
                  <c:v>-2570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B-42FE-9338-0D3AE0E1D321}"/>
            </c:ext>
          </c:extLst>
        </c:ser>
        <c:ser>
          <c:idx val="1"/>
          <c:order val="1"/>
          <c:tx>
            <c:strRef>
              <c:f>Finanzplan!$A$23</c:f>
              <c:strCache>
                <c:ptCount val="1"/>
                <c:pt idx="0">
                  <c:v>Cashflow nach Investitionen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Finanzplan!$E$23:$P$23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-4214</c:v>
                </c:pt>
                <c:pt idx="8">
                  <c:v>-1994</c:v>
                </c:pt>
                <c:pt idx="9">
                  <c:v>-1610</c:v>
                </c:pt>
                <c:pt idx="10">
                  <c:v>-2248.3333333333335</c:v>
                </c:pt>
                <c:pt idx="11">
                  <c:v>-2570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4B-42FE-9338-0D3AE0E1D321}"/>
            </c:ext>
          </c:extLst>
        </c:ser>
        <c:ser>
          <c:idx val="2"/>
          <c:order val="2"/>
          <c:tx>
            <c:v>Liquidität inkl. Finanzierung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Finanzplan!$E$30:$P$30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10786</c:v>
                </c:pt>
                <c:pt idx="8">
                  <c:v>-1994</c:v>
                </c:pt>
                <c:pt idx="9">
                  <c:v>-1610</c:v>
                </c:pt>
                <c:pt idx="10">
                  <c:v>-2248.3333333333335</c:v>
                </c:pt>
                <c:pt idx="11">
                  <c:v>-2570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4B-42FE-9338-0D3AE0E1D321}"/>
            </c:ext>
          </c:extLst>
        </c:ser>
        <c:ser>
          <c:idx val="3"/>
          <c:order val="3"/>
          <c:tx>
            <c:v>Liqudität inkl. Privatausgaben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Absatzplan!$E$7:$P$7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Finanzplan!$E$35:$P$35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11886</c:v>
                </c:pt>
                <c:pt idx="8">
                  <c:v>-894</c:v>
                </c:pt>
                <c:pt idx="9">
                  <c:v>-1610</c:v>
                </c:pt>
                <c:pt idx="10">
                  <c:v>-2248.3333333333335</c:v>
                </c:pt>
                <c:pt idx="11">
                  <c:v>-2570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94B-42FE-9338-0D3AE0E1D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37528"/>
        <c:axId val="1"/>
      </c:lineChart>
      <c:catAx>
        <c:axId val="40313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031375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2466532207050985"/>
          <c:y val="2.3703633919480549E-2"/>
          <c:w val="0.64004326415575097"/>
          <c:h val="3.0560296981358252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paperSize="9"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	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9915173388439902E-2"/>
          <c:y val="0.12485615231765204"/>
          <c:w val="0.88284112554532546"/>
          <c:h val="0.8495099634404184"/>
        </c:manualLayout>
      </c:layout>
      <c:lineChart>
        <c:grouping val="standard"/>
        <c:varyColors val="0"/>
        <c:ser>
          <c:idx val="0"/>
          <c:order val="0"/>
          <c:tx>
            <c:strRef>
              <c:f>Finanzplan!$A$21</c:f>
              <c:strCache>
                <c:ptCount val="1"/>
                <c:pt idx="0">
                  <c:v>Cashflow lfd. Betrieb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Finanzplan!$Q$21:$T$21</c:f>
              <c:numCache>
                <c:formatCode>#,##0_);[Red]\(#,##0\)</c:formatCode>
                <c:ptCount val="4"/>
                <c:pt idx="0">
                  <c:v>-11136.333333333334</c:v>
                </c:pt>
                <c:pt idx="1">
                  <c:v>18466.866666666665</c:v>
                </c:pt>
                <c:pt idx="2">
                  <c:v>59438.533333333333</c:v>
                </c:pt>
                <c:pt idx="3">
                  <c:v>76378.733333333323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BA-48C0-94AB-487AB0092551}"/>
            </c:ext>
          </c:extLst>
        </c:ser>
        <c:ser>
          <c:idx val="1"/>
          <c:order val="1"/>
          <c:tx>
            <c:strRef>
              <c:f>Finanzplan!$A$23</c:f>
              <c:strCache>
                <c:ptCount val="1"/>
                <c:pt idx="0">
                  <c:v>Cashflow nach Investitionen</c:v>
                </c:pt>
              </c:strCache>
            </c:strRef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Finanzplan!$Q$23:$T$23</c:f>
              <c:numCache>
                <c:formatCode>#,##0_);[Red]\(#,##0\)</c:formatCode>
                <c:ptCount val="4"/>
                <c:pt idx="0">
                  <c:v>-12636.333333333334</c:v>
                </c:pt>
                <c:pt idx="1">
                  <c:v>18466.866666666665</c:v>
                </c:pt>
                <c:pt idx="2">
                  <c:v>59438.533333333333</c:v>
                </c:pt>
                <c:pt idx="3">
                  <c:v>76378.733333333323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BA-48C0-94AB-487AB0092551}"/>
            </c:ext>
          </c:extLst>
        </c:ser>
        <c:ser>
          <c:idx val="2"/>
          <c:order val="2"/>
          <c:tx>
            <c:v>Liquidität inkl. Finanzierung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Finanzplan!$Q$30:$T$30</c:f>
              <c:numCache>
                <c:formatCode>#,##0_);[Red]\(#,##0\)</c:formatCode>
                <c:ptCount val="4"/>
                <c:pt idx="0">
                  <c:v>2363.6666666666661</c:v>
                </c:pt>
                <c:pt idx="1">
                  <c:v>18466.866666666665</c:v>
                </c:pt>
                <c:pt idx="2">
                  <c:v>59438.533333333333</c:v>
                </c:pt>
                <c:pt idx="3">
                  <c:v>76378.733333333323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BA-48C0-94AB-487AB0092551}"/>
            </c:ext>
          </c:extLst>
        </c:ser>
        <c:ser>
          <c:idx val="3"/>
          <c:order val="3"/>
          <c:tx>
            <c:v>Liqudität inkl. Privatausgaben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Absatzplan!$Q$7:$T$7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Finanzplan!$Q$35:$T$35</c:f>
              <c:numCache>
                <c:formatCode>#,##0_);[Red]\(#,##0\)</c:formatCode>
                <c:ptCount val="4"/>
                <c:pt idx="0">
                  <c:v>4563.6666666666661</c:v>
                </c:pt>
                <c:pt idx="1">
                  <c:v>18466.866666666665</c:v>
                </c:pt>
                <c:pt idx="2">
                  <c:v>59438.533333333333</c:v>
                </c:pt>
                <c:pt idx="3">
                  <c:v>76378.733333333323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BA-48C0-94AB-487AB0092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38184"/>
        <c:axId val="1"/>
      </c:lineChart>
      <c:catAx>
        <c:axId val="403138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031381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5871628129223005E-2"/>
          <c:y val="6.3032367972742753E-2"/>
          <c:w val="0.9189616168554342"/>
          <c:h val="3.0664395229982964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Liquidität kumuliert</a:t>
            </a:r>
          </a:p>
        </c:rich>
      </c:tx>
      <c:layout>
        <c:manualLayout>
          <c:xMode val="edge"/>
          <c:yMode val="edge"/>
          <c:x val="9.9899650102739171E-3"/>
          <c:y val="2.81785262953241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8710761504594309E-2"/>
          <c:y val="0.13197239565763069"/>
          <c:w val="0.9112916899068203"/>
          <c:h val="0.83320557203884804"/>
        </c:manualLayout>
      </c:layout>
      <c:lineChart>
        <c:grouping val="standard"/>
        <c:varyColors val="0"/>
        <c:ser>
          <c:idx val="4"/>
          <c:order val="0"/>
          <c:tx>
            <c:v>Liquidität kumuliert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Finanzplan!$E$10:$P$10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Finanzplan!$E$36:$P$36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11886</c:v>
                </c:pt>
                <c:pt idx="8">
                  <c:v>10992</c:v>
                </c:pt>
                <c:pt idx="9">
                  <c:v>9382</c:v>
                </c:pt>
                <c:pt idx="10">
                  <c:v>7133.6666666666661</c:v>
                </c:pt>
                <c:pt idx="11">
                  <c:v>4563.6666666666661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B5-42C8-ABBE-88C68FCB74E0}"/>
            </c:ext>
          </c:extLst>
        </c:ser>
        <c:ser>
          <c:idx val="5"/>
          <c:order val="1"/>
          <c:tx>
            <c:v>Gesamtliquidität kumuliert inkl. Rahmen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Finanzplan!$E$10:$P$10</c:f>
              <c:strCache>
                <c:ptCount val="12"/>
                <c:pt idx="0">
                  <c:v>Jän</c:v>
                </c:pt>
                <c:pt idx="1">
                  <c:v>Feb</c:v>
                </c:pt>
                <c:pt idx="2">
                  <c:v>Mär</c:v>
                </c:pt>
                <c:pt idx="3">
                  <c:v>Apr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Okt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Finanzplan!$E$38:$P$38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11886</c:v>
                </c:pt>
                <c:pt idx="8">
                  <c:v>10992</c:v>
                </c:pt>
                <c:pt idx="9">
                  <c:v>9382</c:v>
                </c:pt>
                <c:pt idx="10">
                  <c:v>7133.6666666666661</c:v>
                </c:pt>
                <c:pt idx="11">
                  <c:v>4563.6666666666661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5-42C8-ABBE-88C68FCB7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140480"/>
        <c:axId val="1"/>
      </c:lineChart>
      <c:catAx>
        <c:axId val="40314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403140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2980541133297864"/>
          <c:y val="5.7420716790254317E-2"/>
          <c:w val="0.35250302901090441"/>
          <c:h val="4.1666760856935534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/>
              <a:t>  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5512048095362836E-2"/>
          <c:y val="0.13228356709284592"/>
          <c:w val="0.87350744941287561"/>
          <c:h val="0.83281229538977342"/>
        </c:manualLayout>
      </c:layout>
      <c:lineChart>
        <c:grouping val="standard"/>
        <c:varyColors val="0"/>
        <c:ser>
          <c:idx val="4"/>
          <c:order val="0"/>
          <c:tx>
            <c:v>Liquidität kumuliert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Finanzplan!$Q$10:$T$10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Finanzplan!$Q$36:$T$36</c:f>
              <c:numCache>
                <c:formatCode>#,##0_);[Red]\(#,##0\)</c:formatCode>
                <c:ptCount val="4"/>
                <c:pt idx="0">
                  <c:v>4563.6666666666661</c:v>
                </c:pt>
                <c:pt idx="1">
                  <c:v>23030.533333333333</c:v>
                </c:pt>
                <c:pt idx="2">
                  <c:v>82469.066666666666</c:v>
                </c:pt>
                <c:pt idx="3">
                  <c:v>158847.79999999999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6-464D-8BA6-5DD4E4788CB5}"/>
            </c:ext>
          </c:extLst>
        </c:ser>
        <c:ser>
          <c:idx val="5"/>
          <c:order val="1"/>
          <c:tx>
            <c:v>Gesamtliquidität kumuliert inkl. Rahmen</c:v>
          </c:tx>
          <c:marker>
            <c:symbol val="circle"/>
            <c:size val="6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Finanzplan!$Q$10:$T$10</c:f>
              <c:numCache>
                <c:formatCode>0</c:formatCode>
                <c:ptCount val="4"/>
                <c:pt idx="0">
                  <c:v>2026</c:v>
                </c:pt>
                <c:pt idx="1">
                  <c:v>2027</c:v>
                </c:pt>
                <c:pt idx="2">
                  <c:v>2028</c:v>
                </c:pt>
                <c:pt idx="3">
                  <c:v>2029</c:v>
                </c:pt>
              </c:numCache>
            </c:numRef>
          </c:cat>
          <c:val>
            <c:numRef>
              <c:f>Finanzplan!$Q$38:$T$38</c:f>
              <c:numCache>
                <c:formatCode>#,##0_);[Red]\(#,##0\)</c:formatCode>
                <c:ptCount val="4"/>
                <c:pt idx="0">
                  <c:v>4563.6666666666661</c:v>
                </c:pt>
                <c:pt idx="1">
                  <c:v>23030.533333333333</c:v>
                </c:pt>
                <c:pt idx="2">
                  <c:v>82469.066666666666</c:v>
                </c:pt>
                <c:pt idx="3">
                  <c:v>158847.79999999999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6-464D-8BA6-5DD4E4788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7677080"/>
        <c:axId val="1"/>
      </c:lineChart>
      <c:catAx>
        <c:axId val="54767708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547677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25076483010423034"/>
          <c:y val="5.5232414938461913E-2"/>
          <c:w val="0.5061169636924272"/>
          <c:h val="4.1763341067285381E-2"/>
        </c:manualLayout>
      </c:layout>
      <c:overlay val="0"/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5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image" Target="../media/image5.jpeg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image" Target="../media/image5.jpeg"/><Relationship Id="rId4" Type="http://schemas.openxmlformats.org/officeDocument/2006/relationships/chart" Target="../charts/chart19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115957</xdr:colOff>
      <xdr:row>54</xdr:row>
      <xdr:rowOff>84945</xdr:rowOff>
    </xdr:from>
    <xdr:to>
      <xdr:col>5</xdr:col>
      <xdr:colOff>728165</xdr:colOff>
      <xdr:row>57</xdr:row>
      <xdr:rowOff>147458</xdr:rowOff>
    </xdr:to>
    <xdr:pic>
      <xdr:nvPicPr>
        <xdr:cNvPr id="4" name="Bild 12">
          <a:extLst>
            <a:ext uri="{FF2B5EF4-FFF2-40B4-BE49-F238E27FC236}">
              <a16:creationId xmlns:a16="http://schemas.microsoft.com/office/drawing/2014/main" id="{B9DDFA36-DF4F-4432-AC64-AE7A0B40D7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6435" y="9063293"/>
          <a:ext cx="612208" cy="559469"/>
        </a:xfrm>
        <a:prstGeom prst="rect">
          <a:avLst/>
        </a:prstGeom>
        <a:noFill/>
      </xdr:spPr>
    </xdr:pic>
    <xdr:clientData/>
  </xdr:twoCellAnchor>
  <xdr:twoCellAnchor editAs="oneCell">
    <xdr:from>
      <xdr:col>4</xdr:col>
      <xdr:colOff>313460</xdr:colOff>
      <xdr:row>0</xdr:row>
      <xdr:rowOff>88446</xdr:rowOff>
    </xdr:from>
    <xdr:to>
      <xdr:col>5</xdr:col>
      <xdr:colOff>720131</xdr:colOff>
      <xdr:row>4</xdr:row>
      <xdr:rowOff>144558</xdr:rowOff>
    </xdr:to>
    <xdr:pic>
      <xdr:nvPicPr>
        <xdr:cNvPr id="5" name="Bild 11">
          <a:extLst>
            <a:ext uri="{FF2B5EF4-FFF2-40B4-BE49-F238E27FC236}">
              <a16:creationId xmlns:a16="http://schemas.microsoft.com/office/drawing/2014/main" id="{295BA08C-3102-426E-938D-B4836D989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1938" y="88446"/>
          <a:ext cx="1168671" cy="718721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815721</xdr:colOff>
      <xdr:row>0</xdr:row>
      <xdr:rowOff>60476</xdr:rowOff>
    </xdr:from>
    <xdr:to>
      <xdr:col>19</xdr:col>
      <xdr:colOff>746085</xdr:colOff>
      <xdr:row>5</xdr:row>
      <xdr:rowOff>2711</xdr:rowOff>
    </xdr:to>
    <xdr:pic>
      <xdr:nvPicPr>
        <xdr:cNvPr id="3" name="Bild 11">
          <a:extLst>
            <a:ext uri="{FF2B5EF4-FFF2-40B4-BE49-F238E27FC236}">
              <a16:creationId xmlns:a16="http://schemas.microsoft.com/office/drawing/2014/main" id="{2975DFD3-0752-4132-A921-1B0BAEFE2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77269" y="60476"/>
          <a:ext cx="1648680" cy="1000568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136072</xdr:colOff>
      <xdr:row>0</xdr:row>
      <xdr:rowOff>45358</xdr:rowOff>
    </xdr:from>
    <xdr:to>
      <xdr:col>19</xdr:col>
      <xdr:colOff>758549</xdr:colOff>
      <xdr:row>4</xdr:row>
      <xdr:rowOff>173477</xdr:rowOff>
    </xdr:to>
    <xdr:pic>
      <xdr:nvPicPr>
        <xdr:cNvPr id="3" name="Bild 11">
          <a:extLst>
            <a:ext uri="{FF2B5EF4-FFF2-40B4-BE49-F238E27FC236}">
              <a16:creationId xmlns:a16="http://schemas.microsoft.com/office/drawing/2014/main" id="{AAA43349-1BB1-4C00-8CAF-FCF14B065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59405" y="45358"/>
          <a:ext cx="1481636" cy="89919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198223</xdr:colOff>
      <xdr:row>1</xdr:row>
      <xdr:rowOff>77755</xdr:rowOff>
    </xdr:from>
    <xdr:to>
      <xdr:col>22</xdr:col>
      <xdr:colOff>725958</xdr:colOff>
      <xdr:row>6</xdr:row>
      <xdr:rowOff>136071</xdr:rowOff>
    </xdr:to>
    <xdr:pic>
      <xdr:nvPicPr>
        <xdr:cNvPr id="3" name="Bild 11">
          <a:extLst>
            <a:ext uri="{FF2B5EF4-FFF2-40B4-BE49-F238E27FC236}">
              <a16:creationId xmlns:a16="http://schemas.microsoft.com/office/drawing/2014/main" id="{51E7C962-9AD9-4F10-9865-D1791A99B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59856" y="233265"/>
          <a:ext cx="1441357" cy="874745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67503</xdr:colOff>
      <xdr:row>2</xdr:row>
      <xdr:rowOff>35620</xdr:rowOff>
    </xdr:from>
    <xdr:to>
      <xdr:col>19</xdr:col>
      <xdr:colOff>764748</xdr:colOff>
      <xdr:row>6</xdr:row>
      <xdr:rowOff>205154</xdr:rowOff>
    </xdr:to>
    <xdr:pic>
      <xdr:nvPicPr>
        <xdr:cNvPr id="4" name="Bild 11">
          <a:extLst>
            <a:ext uri="{FF2B5EF4-FFF2-40B4-BE49-F238E27FC236}">
              <a16:creationId xmlns:a16="http://schemas.microsoft.com/office/drawing/2014/main" id="{B924E296-0C18-4207-8CBC-0A9B1368F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99118" y="358005"/>
          <a:ext cx="1559075" cy="946187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12</xdr:col>
      <xdr:colOff>257175</xdr:colOff>
      <xdr:row>22</xdr:row>
      <xdr:rowOff>9525</xdr:rowOff>
    </xdr:to>
    <xdr:graphicFrame macro="">
      <xdr:nvGraphicFramePr>
        <xdr:cNvPr id="16403373" name="Diagramm 2">
          <a:extLst>
            <a:ext uri="{FF2B5EF4-FFF2-40B4-BE49-F238E27FC236}">
              <a16:creationId xmlns:a16="http://schemas.microsoft.com/office/drawing/2014/main" id="{FC67FE9F-0F07-40E5-9CF0-B5363D37F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12</xdr:col>
      <xdr:colOff>257175</xdr:colOff>
      <xdr:row>39</xdr:row>
      <xdr:rowOff>9525</xdr:rowOff>
    </xdr:to>
    <xdr:graphicFrame macro="">
      <xdr:nvGraphicFramePr>
        <xdr:cNvPr id="16403374" name="Diagramm 2">
          <a:extLst>
            <a:ext uri="{FF2B5EF4-FFF2-40B4-BE49-F238E27FC236}">
              <a16:creationId xmlns:a16="http://schemas.microsoft.com/office/drawing/2014/main" id="{C936B2B7-D1EE-45B4-966B-588E85A214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12</xdr:col>
      <xdr:colOff>257175</xdr:colOff>
      <xdr:row>56</xdr:row>
      <xdr:rowOff>28575</xdr:rowOff>
    </xdr:to>
    <xdr:graphicFrame macro="">
      <xdr:nvGraphicFramePr>
        <xdr:cNvPr id="16403375" name="Diagramm 2">
          <a:extLst>
            <a:ext uri="{FF2B5EF4-FFF2-40B4-BE49-F238E27FC236}">
              <a16:creationId xmlns:a16="http://schemas.microsoft.com/office/drawing/2014/main" id="{FC70588E-152A-4B0E-B722-9FB2AB10C7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5</xdr:row>
      <xdr:rowOff>0</xdr:rowOff>
    </xdr:from>
    <xdr:to>
      <xdr:col>20</xdr:col>
      <xdr:colOff>695325</xdr:colOff>
      <xdr:row>22</xdr:row>
      <xdr:rowOff>9525</xdr:rowOff>
    </xdr:to>
    <xdr:graphicFrame macro="">
      <xdr:nvGraphicFramePr>
        <xdr:cNvPr id="16403376" name="Diagramm 2">
          <a:extLst>
            <a:ext uri="{FF2B5EF4-FFF2-40B4-BE49-F238E27FC236}">
              <a16:creationId xmlns:a16="http://schemas.microsoft.com/office/drawing/2014/main" id="{D459EC56-9119-4092-92D8-4F4C10A044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22</xdr:row>
      <xdr:rowOff>0</xdr:rowOff>
    </xdr:from>
    <xdr:to>
      <xdr:col>20</xdr:col>
      <xdr:colOff>695325</xdr:colOff>
      <xdr:row>39</xdr:row>
      <xdr:rowOff>9525</xdr:rowOff>
    </xdr:to>
    <xdr:graphicFrame macro="">
      <xdr:nvGraphicFramePr>
        <xdr:cNvPr id="16403377" name="Diagramm 2">
          <a:extLst>
            <a:ext uri="{FF2B5EF4-FFF2-40B4-BE49-F238E27FC236}">
              <a16:creationId xmlns:a16="http://schemas.microsoft.com/office/drawing/2014/main" id="{0819FC36-CFBB-4FA5-84ED-4F9BC8ADC4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266700</xdr:colOff>
      <xdr:row>39</xdr:row>
      <xdr:rowOff>0</xdr:rowOff>
    </xdr:from>
    <xdr:to>
      <xdr:col>20</xdr:col>
      <xdr:colOff>695325</xdr:colOff>
      <xdr:row>56</xdr:row>
      <xdr:rowOff>28575</xdr:rowOff>
    </xdr:to>
    <xdr:graphicFrame macro="">
      <xdr:nvGraphicFramePr>
        <xdr:cNvPr id="16403378" name="Diagramm 2">
          <a:extLst>
            <a:ext uri="{FF2B5EF4-FFF2-40B4-BE49-F238E27FC236}">
              <a16:creationId xmlns:a16="http://schemas.microsoft.com/office/drawing/2014/main" id="{1DFBD842-289B-4B16-B331-C56E04874B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19</xdr:col>
      <xdr:colOff>110571</xdr:colOff>
      <xdr:row>0</xdr:row>
      <xdr:rowOff>46839</xdr:rowOff>
    </xdr:from>
    <xdr:to>
      <xdr:col>20</xdr:col>
      <xdr:colOff>627301</xdr:colOff>
      <xdr:row>4</xdr:row>
      <xdr:rowOff>46845</xdr:rowOff>
    </xdr:to>
    <xdr:pic>
      <xdr:nvPicPr>
        <xdr:cNvPr id="9" name="Bild 11">
          <a:extLst>
            <a:ext uri="{FF2B5EF4-FFF2-40B4-BE49-F238E27FC236}">
              <a16:creationId xmlns:a16="http://schemas.microsoft.com/office/drawing/2014/main" id="{577DF9A0-A2D8-4F53-AF82-DB63D21A2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7866" y="46839"/>
          <a:ext cx="1235009" cy="749514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257175</xdr:colOff>
      <xdr:row>4</xdr:row>
      <xdr:rowOff>371475</xdr:rowOff>
    </xdr:from>
    <xdr:to>
      <xdr:col>20</xdr:col>
      <xdr:colOff>695325</xdr:colOff>
      <xdr:row>51</xdr:row>
      <xdr:rowOff>171450</xdr:rowOff>
    </xdr:to>
    <xdr:graphicFrame macro="">
      <xdr:nvGraphicFramePr>
        <xdr:cNvPr id="14790504" name="Diagramm 3">
          <a:extLst>
            <a:ext uri="{FF2B5EF4-FFF2-40B4-BE49-F238E27FC236}">
              <a16:creationId xmlns:a16="http://schemas.microsoft.com/office/drawing/2014/main" id="{86E81423-FD19-4A03-ACA1-A2FC77699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171450</xdr:rowOff>
    </xdr:from>
    <xdr:to>
      <xdr:col>12</xdr:col>
      <xdr:colOff>257175</xdr:colOff>
      <xdr:row>51</xdr:row>
      <xdr:rowOff>171450</xdr:rowOff>
    </xdr:to>
    <xdr:graphicFrame macro="">
      <xdr:nvGraphicFramePr>
        <xdr:cNvPr id="14790505" name="Diagramm 2">
          <a:extLst>
            <a:ext uri="{FF2B5EF4-FFF2-40B4-BE49-F238E27FC236}">
              <a16:creationId xmlns:a16="http://schemas.microsoft.com/office/drawing/2014/main" id="{87325128-409A-4DE4-8879-FD0669BB1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</xdr:row>
      <xdr:rowOff>0</xdr:rowOff>
    </xdr:from>
    <xdr:to>
      <xdr:col>12</xdr:col>
      <xdr:colOff>257175</xdr:colOff>
      <xdr:row>34</xdr:row>
      <xdr:rowOff>28575</xdr:rowOff>
    </xdr:to>
    <xdr:graphicFrame macro="">
      <xdr:nvGraphicFramePr>
        <xdr:cNvPr id="14790506" name="Diagramm 2">
          <a:extLst>
            <a:ext uri="{FF2B5EF4-FFF2-40B4-BE49-F238E27FC236}">
              <a16:creationId xmlns:a16="http://schemas.microsoft.com/office/drawing/2014/main" id="{AA2CEF2C-9C61-492E-A3B0-CE13B30A19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19</xdr:col>
      <xdr:colOff>124925</xdr:colOff>
      <xdr:row>0</xdr:row>
      <xdr:rowOff>52774</xdr:rowOff>
    </xdr:from>
    <xdr:to>
      <xdr:col>20</xdr:col>
      <xdr:colOff>641655</xdr:colOff>
      <xdr:row>4</xdr:row>
      <xdr:rowOff>52780</xdr:rowOff>
    </xdr:to>
    <xdr:pic>
      <xdr:nvPicPr>
        <xdr:cNvPr id="7" name="Bild 11">
          <a:extLst>
            <a:ext uri="{FF2B5EF4-FFF2-40B4-BE49-F238E27FC236}">
              <a16:creationId xmlns:a16="http://schemas.microsoft.com/office/drawing/2014/main" id="{FA168B56-FC2A-49F9-8A31-BF200B196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72220" y="52774"/>
          <a:ext cx="1235009" cy="749514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12</xdr:col>
      <xdr:colOff>257175</xdr:colOff>
      <xdr:row>22</xdr:row>
      <xdr:rowOff>9525</xdr:rowOff>
    </xdr:to>
    <xdr:graphicFrame macro="">
      <xdr:nvGraphicFramePr>
        <xdr:cNvPr id="17581577" name="Diagramm 2">
          <a:extLst>
            <a:ext uri="{FF2B5EF4-FFF2-40B4-BE49-F238E27FC236}">
              <a16:creationId xmlns:a16="http://schemas.microsoft.com/office/drawing/2014/main" id="{CB9E98EB-C71D-49DD-8C69-B16409AE5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12</xdr:col>
      <xdr:colOff>257175</xdr:colOff>
      <xdr:row>39</xdr:row>
      <xdr:rowOff>9525</xdr:rowOff>
    </xdr:to>
    <xdr:graphicFrame macro="">
      <xdr:nvGraphicFramePr>
        <xdr:cNvPr id="17581578" name="Diagramm 2">
          <a:extLst>
            <a:ext uri="{FF2B5EF4-FFF2-40B4-BE49-F238E27FC236}">
              <a16:creationId xmlns:a16="http://schemas.microsoft.com/office/drawing/2014/main" id="{B538DA73-D665-4A67-890A-D926C1F44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0</xdr:rowOff>
    </xdr:from>
    <xdr:to>
      <xdr:col>12</xdr:col>
      <xdr:colOff>257175</xdr:colOff>
      <xdr:row>56</xdr:row>
      <xdr:rowOff>9525</xdr:rowOff>
    </xdr:to>
    <xdr:graphicFrame macro="">
      <xdr:nvGraphicFramePr>
        <xdr:cNvPr id="17581579" name="Diagramm 2">
          <a:extLst>
            <a:ext uri="{FF2B5EF4-FFF2-40B4-BE49-F238E27FC236}">
              <a16:creationId xmlns:a16="http://schemas.microsoft.com/office/drawing/2014/main" id="{DACDC2A6-4388-4E65-A82C-485F809CC1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5</xdr:row>
      <xdr:rowOff>0</xdr:rowOff>
    </xdr:from>
    <xdr:to>
      <xdr:col>20</xdr:col>
      <xdr:colOff>695325</xdr:colOff>
      <xdr:row>22</xdr:row>
      <xdr:rowOff>9525</xdr:rowOff>
    </xdr:to>
    <xdr:graphicFrame macro="">
      <xdr:nvGraphicFramePr>
        <xdr:cNvPr id="17581580" name="Diagramm 2">
          <a:extLst>
            <a:ext uri="{FF2B5EF4-FFF2-40B4-BE49-F238E27FC236}">
              <a16:creationId xmlns:a16="http://schemas.microsoft.com/office/drawing/2014/main" id="{A8A1BA24-A53C-4883-BE0B-48E07791F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266700</xdr:colOff>
      <xdr:row>22</xdr:row>
      <xdr:rowOff>0</xdr:rowOff>
    </xdr:from>
    <xdr:to>
      <xdr:col>20</xdr:col>
      <xdr:colOff>695325</xdr:colOff>
      <xdr:row>39</xdr:row>
      <xdr:rowOff>9525</xdr:rowOff>
    </xdr:to>
    <xdr:graphicFrame macro="">
      <xdr:nvGraphicFramePr>
        <xdr:cNvPr id="17581581" name="Diagramm 2">
          <a:extLst>
            <a:ext uri="{FF2B5EF4-FFF2-40B4-BE49-F238E27FC236}">
              <a16:creationId xmlns:a16="http://schemas.microsoft.com/office/drawing/2014/main" id="{4089B709-A115-4476-B2C3-FF38D1E7C6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266700</xdr:colOff>
      <xdr:row>39</xdr:row>
      <xdr:rowOff>0</xdr:rowOff>
    </xdr:from>
    <xdr:to>
      <xdr:col>20</xdr:col>
      <xdr:colOff>695325</xdr:colOff>
      <xdr:row>56</xdr:row>
      <xdr:rowOff>9525</xdr:rowOff>
    </xdr:to>
    <xdr:graphicFrame macro="">
      <xdr:nvGraphicFramePr>
        <xdr:cNvPr id="17581582" name="Diagramm 2">
          <a:extLst>
            <a:ext uri="{FF2B5EF4-FFF2-40B4-BE49-F238E27FC236}">
              <a16:creationId xmlns:a16="http://schemas.microsoft.com/office/drawing/2014/main" id="{C805DDD6-AA9A-4FD2-8EDC-54AB79F164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19</xdr:col>
      <xdr:colOff>171765</xdr:colOff>
      <xdr:row>0</xdr:row>
      <xdr:rowOff>46842</xdr:rowOff>
    </xdr:from>
    <xdr:to>
      <xdr:col>20</xdr:col>
      <xdr:colOff>688495</xdr:colOff>
      <xdr:row>4</xdr:row>
      <xdr:rowOff>46848</xdr:rowOff>
    </xdr:to>
    <xdr:pic>
      <xdr:nvPicPr>
        <xdr:cNvPr id="13" name="Bild 11">
          <a:extLst>
            <a:ext uri="{FF2B5EF4-FFF2-40B4-BE49-F238E27FC236}">
              <a16:creationId xmlns:a16="http://schemas.microsoft.com/office/drawing/2014/main" id="{69B19823-3A29-463F-8D32-C13A93EC1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9060" y="46842"/>
          <a:ext cx="1235009" cy="749514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12</xdr:col>
      <xdr:colOff>257175</xdr:colOff>
      <xdr:row>34</xdr:row>
      <xdr:rowOff>85725</xdr:rowOff>
    </xdr:to>
    <xdr:graphicFrame macro="">
      <xdr:nvGraphicFramePr>
        <xdr:cNvPr id="17213910" name="Diagramm 2">
          <a:extLst>
            <a:ext uri="{FF2B5EF4-FFF2-40B4-BE49-F238E27FC236}">
              <a16:creationId xmlns:a16="http://schemas.microsoft.com/office/drawing/2014/main" id="{A51AE5C0-2312-4428-BA02-873DE92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5</xdr:row>
      <xdr:rowOff>0</xdr:rowOff>
    </xdr:from>
    <xdr:to>
      <xdr:col>20</xdr:col>
      <xdr:colOff>695325</xdr:colOff>
      <xdr:row>34</xdr:row>
      <xdr:rowOff>66675</xdr:rowOff>
    </xdr:to>
    <xdr:graphicFrame macro="">
      <xdr:nvGraphicFramePr>
        <xdr:cNvPr id="17213911" name="Diagramm 3">
          <a:extLst>
            <a:ext uri="{FF2B5EF4-FFF2-40B4-BE49-F238E27FC236}">
              <a16:creationId xmlns:a16="http://schemas.microsoft.com/office/drawing/2014/main" id="{C3367B57-18AB-4F0E-A1B4-3BAA863B3C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34</xdr:row>
      <xdr:rowOff>66675</xdr:rowOff>
    </xdr:from>
    <xdr:to>
      <xdr:col>12</xdr:col>
      <xdr:colOff>257175</xdr:colOff>
      <xdr:row>55</xdr:row>
      <xdr:rowOff>180975</xdr:rowOff>
    </xdr:to>
    <xdr:graphicFrame macro="">
      <xdr:nvGraphicFramePr>
        <xdr:cNvPr id="17213912" name="Diagramm 2">
          <a:extLst>
            <a:ext uri="{FF2B5EF4-FFF2-40B4-BE49-F238E27FC236}">
              <a16:creationId xmlns:a16="http://schemas.microsoft.com/office/drawing/2014/main" id="{38958CB6-9310-4477-BCF7-835A15F509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257175</xdr:colOff>
      <xdr:row>34</xdr:row>
      <xdr:rowOff>66675</xdr:rowOff>
    </xdr:from>
    <xdr:to>
      <xdr:col>20</xdr:col>
      <xdr:colOff>695325</xdr:colOff>
      <xdr:row>55</xdr:row>
      <xdr:rowOff>171450</xdr:rowOff>
    </xdr:to>
    <xdr:graphicFrame macro="">
      <xdr:nvGraphicFramePr>
        <xdr:cNvPr id="17213913" name="Diagramm 3">
          <a:extLst>
            <a:ext uri="{FF2B5EF4-FFF2-40B4-BE49-F238E27FC236}">
              <a16:creationId xmlns:a16="http://schemas.microsoft.com/office/drawing/2014/main" id="{0D4D2AEF-113F-4E5B-8CBF-CB00C75BA9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19</xdr:col>
      <xdr:colOff>140537</xdr:colOff>
      <xdr:row>0</xdr:row>
      <xdr:rowOff>31227</xdr:rowOff>
    </xdr:from>
    <xdr:to>
      <xdr:col>20</xdr:col>
      <xdr:colOff>657267</xdr:colOff>
      <xdr:row>4</xdr:row>
      <xdr:rowOff>31233</xdr:rowOff>
    </xdr:to>
    <xdr:pic>
      <xdr:nvPicPr>
        <xdr:cNvPr id="9" name="Bild 11">
          <a:extLst>
            <a:ext uri="{FF2B5EF4-FFF2-40B4-BE49-F238E27FC236}">
              <a16:creationId xmlns:a16="http://schemas.microsoft.com/office/drawing/2014/main" id="{34F7A4BE-901B-4363-B607-8F24CECAC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87832" y="31227"/>
          <a:ext cx="1235009" cy="749514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7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6:H23"/>
  <sheetViews>
    <sheetView topLeftCell="A4" zoomScale="235" zoomScaleNormal="235" workbookViewId="0">
      <selection activeCell="C10" sqref="C10"/>
    </sheetView>
  </sheetViews>
  <sheetFormatPr baseColWidth="10" defaultColWidth="11.42578125" defaultRowHeight="12.75" x14ac:dyDescent="0.2"/>
  <cols>
    <col min="1" max="1" width="29.140625" style="36" customWidth="1"/>
    <col min="2" max="2" width="6.85546875" style="35" customWidth="1"/>
    <col min="3" max="3" width="13.42578125" style="35" customWidth="1"/>
    <col min="4" max="4" width="11.42578125" style="35" customWidth="1"/>
    <col min="5" max="16384" width="11.42578125" style="35"/>
  </cols>
  <sheetData>
    <row r="6" spans="1:8" ht="15.75" x14ac:dyDescent="0.25">
      <c r="A6" s="34" t="s">
        <v>80</v>
      </c>
    </row>
    <row r="7" spans="1:8" x14ac:dyDescent="0.2">
      <c r="E7" s="37">
        <f>C10</f>
        <v>8</v>
      </c>
    </row>
    <row r="8" spans="1:8" x14ac:dyDescent="0.2">
      <c r="A8" s="38" t="s">
        <v>60</v>
      </c>
      <c r="B8" s="39"/>
      <c r="C8" s="28" t="s">
        <v>109</v>
      </c>
      <c r="F8" s="40"/>
      <c r="G8" s="40"/>
      <c r="H8" s="36"/>
    </row>
    <row r="9" spans="1:8" x14ac:dyDescent="0.2">
      <c r="A9" s="38" t="s">
        <v>39</v>
      </c>
      <c r="B9" s="39" t="s">
        <v>29</v>
      </c>
      <c r="C9" s="1">
        <v>2026</v>
      </c>
      <c r="E9" s="41" t="s">
        <v>30</v>
      </c>
      <c r="F9" s="40"/>
      <c r="G9" s="40"/>
      <c r="H9" s="36"/>
    </row>
    <row r="10" spans="1:8" x14ac:dyDescent="0.2">
      <c r="A10" s="42"/>
      <c r="B10" s="39" t="s">
        <v>28</v>
      </c>
      <c r="C10" s="24">
        <v>8</v>
      </c>
      <c r="E10" s="41" t="s">
        <v>31</v>
      </c>
      <c r="F10" s="40"/>
      <c r="G10" s="40"/>
      <c r="H10" s="36"/>
    </row>
    <row r="11" spans="1:8" x14ac:dyDescent="0.2">
      <c r="A11" s="38" t="s">
        <v>81</v>
      </c>
      <c r="B11" s="39"/>
      <c r="C11" s="24">
        <v>12</v>
      </c>
      <c r="E11" s="41"/>
      <c r="F11" s="40"/>
      <c r="G11" s="40"/>
      <c r="H11" s="36"/>
    </row>
    <row r="12" spans="1:8" x14ac:dyDescent="0.2">
      <c r="A12" s="38" t="s">
        <v>86</v>
      </c>
      <c r="B12" s="39"/>
      <c r="C12" s="1" t="s">
        <v>31</v>
      </c>
      <c r="E12" s="37">
        <v>1</v>
      </c>
      <c r="F12" s="40"/>
      <c r="G12" s="40"/>
      <c r="H12" s="36"/>
    </row>
    <row r="13" spans="1:8" x14ac:dyDescent="0.2">
      <c r="A13" s="38" t="s">
        <v>40</v>
      </c>
      <c r="C13" s="28" t="s">
        <v>99</v>
      </c>
      <c r="E13" s="37">
        <v>2</v>
      </c>
      <c r="F13" s="40"/>
      <c r="G13" s="40"/>
      <c r="H13" s="36"/>
    </row>
    <row r="14" spans="1:8" x14ac:dyDescent="0.2">
      <c r="A14" s="38" t="s">
        <v>41</v>
      </c>
      <c r="C14" s="2">
        <v>46077</v>
      </c>
      <c r="E14" s="37">
        <v>3</v>
      </c>
      <c r="F14" s="40"/>
      <c r="G14" s="40"/>
      <c r="H14" s="36"/>
    </row>
    <row r="15" spans="1:8" x14ac:dyDescent="0.2">
      <c r="A15" s="38" t="s">
        <v>42</v>
      </c>
      <c r="C15" s="43" t="s">
        <v>98</v>
      </c>
      <c r="E15" s="37">
        <v>4</v>
      </c>
      <c r="F15" s="40"/>
      <c r="G15" s="40"/>
      <c r="H15" s="36"/>
    </row>
    <row r="16" spans="1:8" x14ac:dyDescent="0.2">
      <c r="C16" s="44"/>
      <c r="E16" s="37">
        <v>5</v>
      </c>
      <c r="F16" s="40"/>
      <c r="G16" s="40"/>
      <c r="H16" s="36"/>
    </row>
    <row r="17" spans="3:8" x14ac:dyDescent="0.2">
      <c r="C17" s="44"/>
      <c r="E17" s="37">
        <v>6</v>
      </c>
      <c r="F17" s="40"/>
      <c r="G17" s="40"/>
      <c r="H17" s="36"/>
    </row>
    <row r="18" spans="3:8" x14ac:dyDescent="0.2">
      <c r="E18" s="37">
        <v>7</v>
      </c>
      <c r="F18" s="40"/>
      <c r="G18" s="40"/>
      <c r="H18" s="36"/>
    </row>
    <row r="19" spans="3:8" x14ac:dyDescent="0.2">
      <c r="E19" s="37">
        <v>8</v>
      </c>
      <c r="F19" s="40"/>
      <c r="G19" s="40"/>
      <c r="H19" s="36"/>
    </row>
    <row r="20" spans="3:8" x14ac:dyDescent="0.2">
      <c r="E20" s="37">
        <v>9</v>
      </c>
      <c r="F20" s="40"/>
      <c r="G20" s="40"/>
      <c r="H20" s="36"/>
    </row>
    <row r="21" spans="3:8" x14ac:dyDescent="0.2">
      <c r="E21" s="37">
        <v>10</v>
      </c>
    </row>
    <row r="22" spans="3:8" x14ac:dyDescent="0.2">
      <c r="E22" s="37">
        <v>11</v>
      </c>
    </row>
    <row r="23" spans="3:8" x14ac:dyDescent="0.2">
      <c r="E23" s="37">
        <v>12</v>
      </c>
    </row>
  </sheetData>
  <sheetProtection algorithmName="SHA-512" hashValue="igNKRzcEaSCotnQRs/zYMzySdTUyyT+6r4k+/oL/E/RdF4sAMVVzhtWUsFtbJkWqLqNsGOygwZUvxGAqqgBHow==" saltValue="koOih/8Xo9VnqYazJUEB7g==" spinCount="100000" sheet="1" objects="1" scenarios="1"/>
  <conditionalFormatting sqref="C12">
    <cfRule type="expression" dxfId="178" priority="1">
      <formula>FÜ=0</formula>
    </cfRule>
  </conditionalFormatting>
  <dataValidations count="2">
    <dataValidation type="list" allowBlank="1" showInputMessage="1" showErrorMessage="1" sqref="C12" xr:uid="{00000000-0002-0000-0000-000000000000}">
      <formula1>$E$9:$E$10</formula1>
    </dataValidation>
    <dataValidation type="list" allowBlank="1" showInputMessage="1" showErrorMessage="1" sqref="C10:C11" xr:uid="{00000000-0002-0000-0000-000001000000}">
      <formula1>$E$12:$E$23</formula1>
    </dataValidation>
  </dataValidations>
  <pageMargins left="0.98425196850393704" right="0.70866141732283472" top="0.78740157480314965" bottom="0.78740157480314965" header="0.31496062992125984" footer="0.31496062992125984"/>
  <pageSetup paperSize="9" orientation="portrait" r:id="rId1"/>
  <headerFooter>
    <oddFooter>&amp;L&amp;F&amp;R&amp;D, 1/9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pageSetUpPr fitToPage="1"/>
  </sheetPr>
  <dimension ref="A1:T157"/>
  <sheetViews>
    <sheetView zoomScale="130" zoomScaleNormal="130" zoomScalePageLayoutView="85" workbookViewId="0">
      <pane xSplit="4" ySplit="7" topLeftCell="I67" activePane="bottomRight" state="frozen"/>
      <selection pane="topRight" activeCell="E1" sqref="E1"/>
      <selection pane="bottomLeft" activeCell="A8" sqref="A8"/>
      <selection pane="bottomRight" activeCell="S22" sqref="S22"/>
    </sheetView>
  </sheetViews>
  <sheetFormatPr baseColWidth="10" defaultColWidth="11.42578125" defaultRowHeight="12.75" x14ac:dyDescent="0.2"/>
  <cols>
    <col min="1" max="1" width="28" style="45" customWidth="1"/>
    <col min="2" max="3" width="7.85546875" style="46" customWidth="1"/>
    <col min="4" max="4" width="8" style="46" customWidth="1"/>
    <col min="5" max="16" width="10.85546875" style="94" customWidth="1"/>
    <col min="17" max="17" width="12.85546875" style="94" customWidth="1"/>
    <col min="18" max="20" width="12.85546875" style="45" customWidth="1"/>
    <col min="21" max="16384" width="11.42578125" style="45"/>
  </cols>
  <sheetData>
    <row r="1" spans="1:20" ht="14.25" customHeight="1" x14ac:dyDescent="0.2"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0" x14ac:dyDescent="0.2">
      <c r="A2" s="47">
        <f>Basisdaten!C10</f>
        <v>8</v>
      </c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3" spans="1:20" ht="20.25" x14ac:dyDescent="0.2">
      <c r="A3" s="48" t="s">
        <v>61</v>
      </c>
      <c r="B3" s="126"/>
      <c r="C3" s="126"/>
      <c r="D3" s="12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</row>
    <row r="4" spans="1:20" ht="20.25" customHeight="1" x14ac:dyDescent="0.2">
      <c r="A4" s="48" t="str">
        <f>Basisdaten!C8</f>
        <v>ANAMNIC GmbH</v>
      </c>
      <c r="B4" s="126"/>
      <c r="C4" s="126"/>
      <c r="D4" s="12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</row>
    <row r="5" spans="1:20" ht="15" customHeight="1" x14ac:dyDescent="0.2">
      <c r="B5" s="186"/>
      <c r="C5" s="186"/>
      <c r="D5" s="186"/>
      <c r="E5" s="51"/>
      <c r="F5" s="52"/>
      <c r="G5" s="53"/>
      <c r="H5" s="54"/>
      <c r="I5" s="54"/>
      <c r="J5" s="54"/>
      <c r="K5" s="54"/>
      <c r="L5" s="54"/>
      <c r="M5" s="54"/>
      <c r="N5" s="54"/>
      <c r="O5" s="54"/>
      <c r="P5" s="54"/>
      <c r="Q5" s="55"/>
      <c r="R5" s="53"/>
      <c r="S5" s="53"/>
      <c r="T5" s="53"/>
    </row>
    <row r="6" spans="1:20" ht="15" customHeight="1" thickBot="1" x14ac:dyDescent="0.25">
      <c r="A6" s="56"/>
      <c r="B6" s="97"/>
      <c r="C6" s="97"/>
      <c r="D6" s="97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20" s="61" customFormat="1" ht="15" customHeight="1" thickBot="1" x14ac:dyDescent="0.25">
      <c r="A7" s="292" t="s">
        <v>43</v>
      </c>
      <c r="B7" s="293"/>
      <c r="C7" s="178" t="s">
        <v>63</v>
      </c>
      <c r="D7" s="178" t="s">
        <v>96</v>
      </c>
      <c r="E7" s="57" t="str">
        <f>TEXT(Basisdaten!$C11*30+30*1,"MMM")</f>
        <v>Jän</v>
      </c>
      <c r="F7" s="58" t="str">
        <f>TEXT(Basisdaten!$C11*30+30*2,"MMM")</f>
        <v>Feb</v>
      </c>
      <c r="G7" s="58" t="str">
        <f>TEXT(Basisdaten!$C11*30+30*3,"MMM")</f>
        <v>Mär</v>
      </c>
      <c r="H7" s="58" t="str">
        <f>TEXT(Basisdaten!$C11*30+30*4,"MMM")</f>
        <v>Apr</v>
      </c>
      <c r="I7" s="58" t="str">
        <f>TEXT(Basisdaten!$C11*30+30*5,"MMM")</f>
        <v>Mai</v>
      </c>
      <c r="J7" s="58" t="str">
        <f>TEXT(Basisdaten!$C11*30+30*6,"MMM")</f>
        <v>Jun</v>
      </c>
      <c r="K7" s="58" t="str">
        <f>TEXT(Basisdaten!$C11*30+30*7,"MMM")</f>
        <v>Jul</v>
      </c>
      <c r="L7" s="58" t="str">
        <f>TEXT(Basisdaten!$C11*30+30*8,"MMM")</f>
        <v>Aug</v>
      </c>
      <c r="M7" s="58" t="str">
        <f>TEXT(Basisdaten!$C11*30+30*9,"MMM")</f>
        <v>Sep</v>
      </c>
      <c r="N7" s="58" t="str">
        <f>TEXT(Basisdaten!$C11*30+30*10,"MMM")</f>
        <v>Okt</v>
      </c>
      <c r="O7" s="58" t="str">
        <f>TEXT(Basisdaten!$C11*30+30*11,"MMM")</f>
        <v>Nov</v>
      </c>
      <c r="P7" s="59" t="str">
        <f>TEXT(Basisdaten!$C11*30+30*12,"MMM")</f>
        <v>Dez</v>
      </c>
      <c r="Q7" s="60">
        <f>IF(Basisdaten!C11+Basisdaten!C10&gt;12,Basisdaten!C9,Basisdaten!C9&amp;"/"&amp;Basisdaten!C9+1-2000)</f>
        <v>2026</v>
      </c>
      <c r="R7" s="60">
        <f>IF(Basisdaten!C11=12,Basisdaten!C9+1,IF(Basisdaten!C11-(12-Basisdaten!C10)&gt;0,Basisdaten!C9&amp;"/"&amp;Basisdaten!C9+1-2000,Basisdaten!C9+1&amp;"/"&amp;Basisdaten!C9+2-2000))</f>
        <v>2027</v>
      </c>
      <c r="S7" s="60">
        <f>IF(Basisdaten!C11=12,Basisdaten!C9+2,IF(Basisdaten!C11-(12-Basisdaten!C10)&gt;0,Basisdaten!C9+1&amp;"/"&amp;Basisdaten!C9+2-2000,Basisdaten!C9+2&amp;"/"&amp;Basisdaten!C9+3-2000))</f>
        <v>2028</v>
      </c>
      <c r="T7" s="60">
        <f>IF(Basisdaten!C11=12,Basisdaten!C9+3,IF(Basisdaten!C11-(12-Basisdaten!C10)&gt;0,Basisdaten!C9+2&amp;"/"&amp;Basisdaten!C9+3-2000,Basisdaten!C9+3&amp;"/"&amp;Basisdaten!C9+4-2000))</f>
        <v>2029</v>
      </c>
    </row>
    <row r="8" spans="1:20" s="61" customFormat="1" ht="15" customHeight="1" x14ac:dyDescent="0.2">
      <c r="A8" s="296" t="s">
        <v>94</v>
      </c>
      <c r="B8" s="297"/>
      <c r="C8" s="298"/>
      <c r="D8" s="24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244" t="s">
        <v>97</v>
      </c>
      <c r="R8" s="245">
        <f>0%</f>
        <v>0</v>
      </c>
      <c r="S8" s="245">
        <f>0%</f>
        <v>0</v>
      </c>
      <c r="T8" s="245">
        <f>0%</f>
        <v>0</v>
      </c>
    </row>
    <row r="9" spans="1:20" ht="15" customHeight="1" x14ac:dyDescent="0.2">
      <c r="A9" s="294" t="s">
        <v>105</v>
      </c>
      <c r="B9" s="295"/>
      <c r="C9" s="164">
        <f>20%</f>
        <v>0.2</v>
      </c>
      <c r="D9" s="243">
        <f>0%</f>
        <v>0</v>
      </c>
      <c r="E9" s="173">
        <v>0</v>
      </c>
      <c r="F9" s="174">
        <f>E9</f>
        <v>0</v>
      </c>
      <c r="G9" s="174">
        <f t="shared" ref="G9:M9" si="0">F9</f>
        <v>0</v>
      </c>
      <c r="H9" s="174">
        <f t="shared" si="0"/>
        <v>0</v>
      </c>
      <c r="I9" s="174">
        <f t="shared" si="0"/>
        <v>0</v>
      </c>
      <c r="J9" s="174">
        <f t="shared" si="0"/>
        <v>0</v>
      </c>
      <c r="K9" s="174">
        <f t="shared" si="0"/>
        <v>0</v>
      </c>
      <c r="L9" s="174">
        <f t="shared" si="0"/>
        <v>0</v>
      </c>
      <c r="M9" s="174">
        <f t="shared" si="0"/>
        <v>0</v>
      </c>
      <c r="N9" s="174">
        <v>0</v>
      </c>
      <c r="O9" s="174">
        <v>0</v>
      </c>
      <c r="P9" s="175">
        <v>0</v>
      </c>
      <c r="Q9" s="177">
        <f>IF(SUM(E9:P9)=0,0,SUM(E9:P9)/(COUNTIF(E9:P9,"&gt;0")+COUNTIF(E9:P9,"&lt;0")))</f>
        <v>0</v>
      </c>
      <c r="R9" s="33">
        <v>0</v>
      </c>
      <c r="S9" s="33">
        <f>R9*(1+$D9+S$8)</f>
        <v>0</v>
      </c>
      <c r="T9" s="33">
        <f>S9*(1+$D9+T$8)</f>
        <v>0</v>
      </c>
    </row>
    <row r="10" spans="1:20" ht="15" customHeight="1" x14ac:dyDescent="0.2">
      <c r="A10" s="294" t="s">
        <v>106</v>
      </c>
      <c r="B10" s="295"/>
      <c r="C10" s="164">
        <f>20%</f>
        <v>0.2</v>
      </c>
      <c r="D10" s="243">
        <f>0%</f>
        <v>0</v>
      </c>
      <c r="E10" s="173">
        <v>150</v>
      </c>
      <c r="F10" s="174">
        <v>150</v>
      </c>
      <c r="G10" s="174">
        <v>150</v>
      </c>
      <c r="H10" s="174">
        <f t="shared" ref="H10:P10" si="1">G10</f>
        <v>150</v>
      </c>
      <c r="I10" s="174">
        <v>150</v>
      </c>
      <c r="J10" s="174">
        <f t="shared" si="1"/>
        <v>150</v>
      </c>
      <c r="K10" s="174">
        <f t="shared" si="1"/>
        <v>150</v>
      </c>
      <c r="L10" s="174">
        <f t="shared" si="1"/>
        <v>150</v>
      </c>
      <c r="M10" s="174">
        <f t="shared" si="1"/>
        <v>150</v>
      </c>
      <c r="N10" s="174">
        <f t="shared" si="1"/>
        <v>150</v>
      </c>
      <c r="O10" s="174">
        <f t="shared" si="1"/>
        <v>150</v>
      </c>
      <c r="P10" s="175">
        <f t="shared" si="1"/>
        <v>150</v>
      </c>
      <c r="Q10" s="177">
        <f t="shared" ref="Q10:Q18" si="2">IF(SUM(E10:P10)=0,0,SUM(E10:P10)/(COUNTIF(E10:P10,"&gt;0")+COUNTIF(E10:P10,"&lt;0")))</f>
        <v>150</v>
      </c>
      <c r="R10" s="33">
        <v>1800</v>
      </c>
      <c r="S10" s="33">
        <f t="shared" ref="R10:T18" si="3">R10*(1+$D10+S$8)</f>
        <v>1800</v>
      </c>
      <c r="T10" s="33">
        <f t="shared" si="3"/>
        <v>1800</v>
      </c>
    </row>
    <row r="11" spans="1:20" ht="15" customHeight="1" x14ac:dyDescent="0.2">
      <c r="A11" s="294" t="s">
        <v>107</v>
      </c>
      <c r="B11" s="295"/>
      <c r="C11" s="164">
        <f>20%</f>
        <v>0.2</v>
      </c>
      <c r="D11" s="243">
        <f>0%</f>
        <v>0</v>
      </c>
      <c r="E11" s="173">
        <v>300</v>
      </c>
      <c r="F11" s="174">
        <v>300</v>
      </c>
      <c r="G11" s="174">
        <v>300</v>
      </c>
      <c r="H11" s="174">
        <f t="shared" ref="H11:H16" si="4">G11</f>
        <v>300</v>
      </c>
      <c r="I11" s="174">
        <v>300</v>
      </c>
      <c r="J11" s="174">
        <f t="shared" ref="J11:J16" si="5">I11</f>
        <v>300</v>
      </c>
      <c r="K11" s="174">
        <f t="shared" ref="K11:K16" si="6">J11</f>
        <v>300</v>
      </c>
      <c r="L11" s="174">
        <f t="shared" ref="L11:L16" si="7">K11</f>
        <v>300</v>
      </c>
      <c r="M11" s="174">
        <f t="shared" ref="M11:M16" si="8">L11</f>
        <v>300</v>
      </c>
      <c r="N11" s="174">
        <f t="shared" ref="N11:N16" si="9">M11</f>
        <v>300</v>
      </c>
      <c r="O11" s="174">
        <f t="shared" ref="O11:O16" si="10">N11</f>
        <v>300</v>
      </c>
      <c r="P11" s="175">
        <f t="shared" ref="P11:P16" si="11">O11</f>
        <v>300</v>
      </c>
      <c r="Q11" s="177">
        <f t="shared" si="2"/>
        <v>300</v>
      </c>
      <c r="R11" s="33">
        <v>3600</v>
      </c>
      <c r="S11" s="33">
        <f t="shared" si="3"/>
        <v>3600</v>
      </c>
      <c r="T11" s="33">
        <f t="shared" si="3"/>
        <v>3600</v>
      </c>
    </row>
    <row r="12" spans="1:20" ht="15" customHeight="1" x14ac:dyDescent="0.2">
      <c r="A12" s="294" t="s">
        <v>108</v>
      </c>
      <c r="B12" s="295"/>
      <c r="C12" s="164">
        <f>20%</f>
        <v>0.2</v>
      </c>
      <c r="D12" s="243">
        <f>0%</f>
        <v>0</v>
      </c>
      <c r="E12" s="173">
        <v>720</v>
      </c>
      <c r="F12" s="174">
        <v>720</v>
      </c>
      <c r="G12" s="174">
        <v>720</v>
      </c>
      <c r="H12" s="174">
        <f t="shared" si="4"/>
        <v>720</v>
      </c>
      <c r="I12" s="174">
        <v>720</v>
      </c>
      <c r="J12" s="174">
        <f t="shared" si="5"/>
        <v>720</v>
      </c>
      <c r="K12" s="174">
        <f t="shared" si="6"/>
        <v>720</v>
      </c>
      <c r="L12" s="174">
        <f t="shared" si="7"/>
        <v>720</v>
      </c>
      <c r="M12" s="174">
        <f t="shared" si="8"/>
        <v>720</v>
      </c>
      <c r="N12" s="174">
        <f t="shared" si="9"/>
        <v>720</v>
      </c>
      <c r="O12" s="174">
        <f t="shared" si="10"/>
        <v>720</v>
      </c>
      <c r="P12" s="175">
        <f t="shared" si="11"/>
        <v>720</v>
      </c>
      <c r="Q12" s="177">
        <f t="shared" si="2"/>
        <v>720</v>
      </c>
      <c r="R12" s="33">
        <v>8640</v>
      </c>
      <c r="S12" s="33">
        <f t="shared" si="3"/>
        <v>8640</v>
      </c>
      <c r="T12" s="33">
        <f t="shared" si="3"/>
        <v>8640</v>
      </c>
    </row>
    <row r="13" spans="1:20" ht="15" customHeight="1" x14ac:dyDescent="0.2">
      <c r="A13" s="294"/>
      <c r="B13" s="295"/>
      <c r="C13" s="164">
        <f>20%</f>
        <v>0.2</v>
      </c>
      <c r="D13" s="243">
        <f>0%</f>
        <v>0</v>
      </c>
      <c r="E13" s="173">
        <v>0</v>
      </c>
      <c r="F13" s="174">
        <f t="shared" ref="F13:F16" si="12">E13</f>
        <v>0</v>
      </c>
      <c r="G13" s="174">
        <f t="shared" ref="G13:G16" si="13">F13</f>
        <v>0</v>
      </c>
      <c r="H13" s="174">
        <f t="shared" si="4"/>
        <v>0</v>
      </c>
      <c r="I13" s="174">
        <f t="shared" ref="I13:I16" si="14">H13</f>
        <v>0</v>
      </c>
      <c r="J13" s="174">
        <f t="shared" si="5"/>
        <v>0</v>
      </c>
      <c r="K13" s="174">
        <f t="shared" si="6"/>
        <v>0</v>
      </c>
      <c r="L13" s="174">
        <f t="shared" si="7"/>
        <v>0</v>
      </c>
      <c r="M13" s="174">
        <f t="shared" si="8"/>
        <v>0</v>
      </c>
      <c r="N13" s="174">
        <f t="shared" si="9"/>
        <v>0</v>
      </c>
      <c r="O13" s="174">
        <f t="shared" si="10"/>
        <v>0</v>
      </c>
      <c r="P13" s="175">
        <f t="shared" si="11"/>
        <v>0</v>
      </c>
      <c r="Q13" s="177">
        <f t="shared" si="2"/>
        <v>0</v>
      </c>
      <c r="R13" s="33">
        <f t="shared" si="3"/>
        <v>0</v>
      </c>
      <c r="S13" s="33">
        <f t="shared" si="3"/>
        <v>0</v>
      </c>
      <c r="T13" s="33">
        <f t="shared" si="3"/>
        <v>0</v>
      </c>
    </row>
    <row r="14" spans="1:20" ht="15" customHeight="1" x14ac:dyDescent="0.2">
      <c r="A14" s="294"/>
      <c r="B14" s="295"/>
      <c r="C14" s="164">
        <f>20%</f>
        <v>0.2</v>
      </c>
      <c r="D14" s="243">
        <f>0%</f>
        <v>0</v>
      </c>
      <c r="E14" s="173">
        <v>0</v>
      </c>
      <c r="F14" s="174">
        <f t="shared" si="12"/>
        <v>0</v>
      </c>
      <c r="G14" s="174">
        <f t="shared" si="13"/>
        <v>0</v>
      </c>
      <c r="H14" s="174">
        <f t="shared" si="4"/>
        <v>0</v>
      </c>
      <c r="I14" s="174">
        <f t="shared" si="14"/>
        <v>0</v>
      </c>
      <c r="J14" s="174">
        <f t="shared" si="5"/>
        <v>0</v>
      </c>
      <c r="K14" s="174">
        <f t="shared" si="6"/>
        <v>0</v>
      </c>
      <c r="L14" s="174">
        <f t="shared" si="7"/>
        <v>0</v>
      </c>
      <c r="M14" s="174">
        <f t="shared" si="8"/>
        <v>0</v>
      </c>
      <c r="N14" s="174">
        <f t="shared" si="9"/>
        <v>0</v>
      </c>
      <c r="O14" s="174">
        <f t="shared" si="10"/>
        <v>0</v>
      </c>
      <c r="P14" s="175">
        <f t="shared" si="11"/>
        <v>0</v>
      </c>
      <c r="Q14" s="177">
        <f t="shared" si="2"/>
        <v>0</v>
      </c>
      <c r="R14" s="33">
        <f t="shared" si="3"/>
        <v>0</v>
      </c>
      <c r="S14" s="33">
        <f t="shared" si="3"/>
        <v>0</v>
      </c>
      <c r="T14" s="33">
        <f t="shared" si="3"/>
        <v>0</v>
      </c>
    </row>
    <row r="15" spans="1:20" ht="15" customHeight="1" x14ac:dyDescent="0.2">
      <c r="A15" s="294"/>
      <c r="B15" s="295"/>
      <c r="C15" s="164">
        <f>20%</f>
        <v>0.2</v>
      </c>
      <c r="D15" s="243">
        <f>0%</f>
        <v>0</v>
      </c>
      <c r="E15" s="173">
        <v>0</v>
      </c>
      <c r="F15" s="174">
        <f t="shared" si="12"/>
        <v>0</v>
      </c>
      <c r="G15" s="174">
        <f t="shared" si="13"/>
        <v>0</v>
      </c>
      <c r="H15" s="174">
        <f t="shared" si="4"/>
        <v>0</v>
      </c>
      <c r="I15" s="174">
        <f t="shared" si="14"/>
        <v>0</v>
      </c>
      <c r="J15" s="174">
        <f t="shared" si="5"/>
        <v>0</v>
      </c>
      <c r="K15" s="174">
        <f t="shared" si="6"/>
        <v>0</v>
      </c>
      <c r="L15" s="174">
        <f t="shared" si="7"/>
        <v>0</v>
      </c>
      <c r="M15" s="174">
        <f t="shared" si="8"/>
        <v>0</v>
      </c>
      <c r="N15" s="174">
        <f t="shared" si="9"/>
        <v>0</v>
      </c>
      <c r="O15" s="174">
        <f t="shared" si="10"/>
        <v>0</v>
      </c>
      <c r="P15" s="175">
        <f t="shared" si="11"/>
        <v>0</v>
      </c>
      <c r="Q15" s="177">
        <f t="shared" si="2"/>
        <v>0</v>
      </c>
      <c r="R15" s="33">
        <f t="shared" si="3"/>
        <v>0</v>
      </c>
      <c r="S15" s="33">
        <f t="shared" si="3"/>
        <v>0</v>
      </c>
      <c r="T15" s="33">
        <f t="shared" si="3"/>
        <v>0</v>
      </c>
    </row>
    <row r="16" spans="1:20" ht="15" customHeight="1" x14ac:dyDescent="0.2">
      <c r="A16" s="294"/>
      <c r="B16" s="295"/>
      <c r="C16" s="164">
        <f>20%</f>
        <v>0.2</v>
      </c>
      <c r="D16" s="243">
        <f>0%</f>
        <v>0</v>
      </c>
      <c r="E16" s="173">
        <v>0</v>
      </c>
      <c r="F16" s="174">
        <f t="shared" si="12"/>
        <v>0</v>
      </c>
      <c r="G16" s="174">
        <f t="shared" si="13"/>
        <v>0</v>
      </c>
      <c r="H16" s="174">
        <f t="shared" si="4"/>
        <v>0</v>
      </c>
      <c r="I16" s="174">
        <f t="shared" si="14"/>
        <v>0</v>
      </c>
      <c r="J16" s="174">
        <f t="shared" si="5"/>
        <v>0</v>
      </c>
      <c r="K16" s="174">
        <f t="shared" si="6"/>
        <v>0</v>
      </c>
      <c r="L16" s="174">
        <f t="shared" si="7"/>
        <v>0</v>
      </c>
      <c r="M16" s="174">
        <f t="shared" si="8"/>
        <v>0</v>
      </c>
      <c r="N16" s="174">
        <f t="shared" si="9"/>
        <v>0</v>
      </c>
      <c r="O16" s="174">
        <f t="shared" si="10"/>
        <v>0</v>
      </c>
      <c r="P16" s="175">
        <f t="shared" si="11"/>
        <v>0</v>
      </c>
      <c r="Q16" s="177">
        <f t="shared" si="2"/>
        <v>0</v>
      </c>
      <c r="R16" s="33">
        <f t="shared" si="3"/>
        <v>0</v>
      </c>
      <c r="S16" s="33">
        <f t="shared" si="3"/>
        <v>0</v>
      </c>
      <c r="T16" s="33">
        <f t="shared" si="3"/>
        <v>0</v>
      </c>
    </row>
    <row r="17" spans="1:20" ht="15" customHeight="1" x14ac:dyDescent="0.2">
      <c r="A17" s="294"/>
      <c r="B17" s="295"/>
      <c r="C17" s="164">
        <f>20%</f>
        <v>0.2</v>
      </c>
      <c r="D17" s="243">
        <f>0%</f>
        <v>0</v>
      </c>
      <c r="E17" s="173">
        <v>0</v>
      </c>
      <c r="F17" s="174">
        <f>E17</f>
        <v>0</v>
      </c>
      <c r="G17" s="174">
        <f t="shared" ref="G17:P17" si="15">F17</f>
        <v>0</v>
      </c>
      <c r="H17" s="174">
        <f t="shared" si="15"/>
        <v>0</v>
      </c>
      <c r="I17" s="174">
        <f t="shared" si="15"/>
        <v>0</v>
      </c>
      <c r="J17" s="174">
        <f t="shared" si="15"/>
        <v>0</v>
      </c>
      <c r="K17" s="174">
        <f t="shared" si="15"/>
        <v>0</v>
      </c>
      <c r="L17" s="174">
        <f t="shared" si="15"/>
        <v>0</v>
      </c>
      <c r="M17" s="174">
        <f t="shared" si="15"/>
        <v>0</v>
      </c>
      <c r="N17" s="174">
        <f t="shared" si="15"/>
        <v>0</v>
      </c>
      <c r="O17" s="174">
        <f t="shared" si="15"/>
        <v>0</v>
      </c>
      <c r="P17" s="175">
        <f t="shared" si="15"/>
        <v>0</v>
      </c>
      <c r="Q17" s="177">
        <f t="shared" si="2"/>
        <v>0</v>
      </c>
      <c r="R17" s="33">
        <f t="shared" si="3"/>
        <v>0</v>
      </c>
      <c r="S17" s="33">
        <f t="shared" si="3"/>
        <v>0</v>
      </c>
      <c r="T17" s="33">
        <f t="shared" si="3"/>
        <v>0</v>
      </c>
    </row>
    <row r="18" spans="1:20" ht="15" customHeight="1" x14ac:dyDescent="0.2">
      <c r="A18" s="294"/>
      <c r="B18" s="295"/>
      <c r="C18" s="164">
        <f>20%</f>
        <v>0.2</v>
      </c>
      <c r="D18" s="243">
        <f>0%</f>
        <v>0</v>
      </c>
      <c r="E18" s="173">
        <v>0</v>
      </c>
      <c r="F18" s="174">
        <f>E18</f>
        <v>0</v>
      </c>
      <c r="G18" s="174">
        <f t="shared" ref="G18:P18" si="16">F18</f>
        <v>0</v>
      </c>
      <c r="H18" s="174">
        <f t="shared" si="16"/>
        <v>0</v>
      </c>
      <c r="I18" s="174">
        <f t="shared" si="16"/>
        <v>0</v>
      </c>
      <c r="J18" s="174">
        <f t="shared" si="16"/>
        <v>0</v>
      </c>
      <c r="K18" s="174">
        <f t="shared" si="16"/>
        <v>0</v>
      </c>
      <c r="L18" s="174">
        <f t="shared" si="16"/>
        <v>0</v>
      </c>
      <c r="M18" s="174">
        <f t="shared" si="16"/>
        <v>0</v>
      </c>
      <c r="N18" s="174">
        <f t="shared" si="16"/>
        <v>0</v>
      </c>
      <c r="O18" s="174">
        <f t="shared" si="16"/>
        <v>0</v>
      </c>
      <c r="P18" s="175">
        <f t="shared" si="16"/>
        <v>0</v>
      </c>
      <c r="Q18" s="177">
        <f t="shared" si="2"/>
        <v>0</v>
      </c>
      <c r="R18" s="33">
        <f t="shared" si="3"/>
        <v>0</v>
      </c>
      <c r="S18" s="33">
        <f t="shared" si="3"/>
        <v>0</v>
      </c>
      <c r="T18" s="33">
        <f t="shared" si="3"/>
        <v>0</v>
      </c>
    </row>
    <row r="19" spans="1:20" ht="15" customHeight="1" x14ac:dyDescent="0.2">
      <c r="A19" s="289" t="s">
        <v>62</v>
      </c>
      <c r="B19" s="286"/>
      <c r="C19" s="286"/>
      <c r="D19" s="240"/>
      <c r="E19" s="176"/>
      <c r="F19" s="176"/>
      <c r="G19" s="176"/>
      <c r="H19" s="176"/>
      <c r="I19" s="176"/>
      <c r="J19" s="176"/>
      <c r="K19" s="176"/>
      <c r="L19" s="176"/>
      <c r="M19" s="176"/>
      <c r="N19" s="176"/>
      <c r="O19" s="176"/>
      <c r="P19" s="176"/>
      <c r="Q19" s="247" t="str">
        <f>"+/-"</f>
        <v>+/-</v>
      </c>
      <c r="R19" s="248">
        <f>0%</f>
        <v>0</v>
      </c>
      <c r="S19" s="248">
        <f>0%</f>
        <v>0</v>
      </c>
      <c r="T19" s="248">
        <f>0%</f>
        <v>0</v>
      </c>
    </row>
    <row r="20" spans="1:20" ht="15" customHeight="1" x14ac:dyDescent="0.2">
      <c r="A20" s="285" t="str">
        <f>A9</f>
        <v>Pilotprojekt</v>
      </c>
      <c r="B20" s="286"/>
      <c r="C20" s="287"/>
      <c r="D20" s="243">
        <f>0%</f>
        <v>0</v>
      </c>
      <c r="E20" s="173">
        <f>IF(E9=0,0,1)</f>
        <v>0</v>
      </c>
      <c r="F20" s="174">
        <f>IF(F9=0,0,IF(E20&gt;0,E20,1))</f>
        <v>0</v>
      </c>
      <c r="G20" s="174">
        <f t="shared" ref="G20:M20" si="17">IF(G9=0,0,IF(F20&gt;0,F20,1))</f>
        <v>0</v>
      </c>
      <c r="H20" s="174">
        <f t="shared" si="17"/>
        <v>0</v>
      </c>
      <c r="I20" s="174">
        <f t="shared" si="17"/>
        <v>0</v>
      </c>
      <c r="J20" s="174">
        <f t="shared" si="17"/>
        <v>0</v>
      </c>
      <c r="K20" s="174">
        <f t="shared" si="17"/>
        <v>0</v>
      </c>
      <c r="L20" s="174">
        <f t="shared" si="17"/>
        <v>0</v>
      </c>
      <c r="M20" s="174">
        <f t="shared" si="17"/>
        <v>0</v>
      </c>
      <c r="N20" s="174">
        <v>2</v>
      </c>
      <c r="O20" s="174">
        <v>3</v>
      </c>
      <c r="P20" s="175">
        <v>5</v>
      </c>
      <c r="Q20" s="62">
        <f>SUM(E20:P20)</f>
        <v>10</v>
      </c>
      <c r="R20" s="33">
        <v>0</v>
      </c>
      <c r="S20" s="33">
        <v>0</v>
      </c>
      <c r="T20" s="33">
        <f>IF(S20=0,IF(T9&gt;0,12,0),S20*(1+$D20+T$19))</f>
        <v>0</v>
      </c>
    </row>
    <row r="21" spans="1:20" ht="15" customHeight="1" x14ac:dyDescent="0.2">
      <c r="A21" s="285" t="str">
        <f>A10</f>
        <v>Starter Abo</v>
      </c>
      <c r="B21" s="286"/>
      <c r="C21" s="287"/>
      <c r="D21" s="243">
        <f>0%</f>
        <v>0</v>
      </c>
      <c r="E21" s="173">
        <v>0</v>
      </c>
      <c r="F21" s="174">
        <v>0</v>
      </c>
      <c r="G21" s="174">
        <v>0</v>
      </c>
      <c r="H21" s="174">
        <v>0</v>
      </c>
      <c r="I21" s="174">
        <v>0</v>
      </c>
      <c r="J21" s="174">
        <v>0</v>
      </c>
      <c r="K21" s="174">
        <v>0</v>
      </c>
      <c r="L21" s="174">
        <v>0</v>
      </c>
      <c r="M21" s="174">
        <v>0</v>
      </c>
      <c r="N21" s="174">
        <v>0</v>
      </c>
      <c r="O21" s="174">
        <v>0</v>
      </c>
      <c r="P21" s="175">
        <v>0</v>
      </c>
      <c r="Q21" s="62">
        <f>SUM(E21:P21)</f>
        <v>0</v>
      </c>
      <c r="R21" s="33">
        <v>12</v>
      </c>
      <c r="S21" s="33">
        <v>24</v>
      </c>
      <c r="T21" s="33">
        <v>36</v>
      </c>
    </row>
    <row r="22" spans="1:20" ht="15" customHeight="1" x14ac:dyDescent="0.2">
      <c r="A22" s="285" t="str">
        <f t="shared" ref="A22:A27" si="18">A11</f>
        <v>Professional Abo</v>
      </c>
      <c r="B22" s="286"/>
      <c r="C22" s="287"/>
      <c r="D22" s="243">
        <f>0%</f>
        <v>0</v>
      </c>
      <c r="E22" s="173">
        <v>0</v>
      </c>
      <c r="F22" s="174">
        <v>0</v>
      </c>
      <c r="G22" s="174">
        <v>0</v>
      </c>
      <c r="H22" s="174">
        <v>0</v>
      </c>
      <c r="I22" s="174">
        <v>0</v>
      </c>
      <c r="J22" s="174">
        <v>0</v>
      </c>
      <c r="K22" s="174">
        <v>0</v>
      </c>
      <c r="L22" s="174">
        <v>0</v>
      </c>
      <c r="M22" s="174">
        <v>0</v>
      </c>
      <c r="N22" s="174">
        <v>0</v>
      </c>
      <c r="O22" s="174">
        <v>0</v>
      </c>
      <c r="P22" s="175">
        <v>0</v>
      </c>
      <c r="Q22" s="62">
        <f t="shared" ref="Q22:Q27" si="19">SUM(E22:P22)</f>
        <v>0</v>
      </c>
      <c r="R22" s="33">
        <v>8</v>
      </c>
      <c r="S22" s="33">
        <v>16</v>
      </c>
      <c r="T22" s="33">
        <v>24</v>
      </c>
    </row>
    <row r="23" spans="1:20" ht="15" customHeight="1" x14ac:dyDescent="0.2">
      <c r="A23" s="285" t="str">
        <f t="shared" si="18"/>
        <v xml:space="preserve">Enterprise Abo </v>
      </c>
      <c r="B23" s="286"/>
      <c r="C23" s="287"/>
      <c r="D23" s="243">
        <f>0%</f>
        <v>0</v>
      </c>
      <c r="E23" s="173">
        <v>0</v>
      </c>
      <c r="F23" s="174">
        <v>0</v>
      </c>
      <c r="G23" s="174">
        <v>0</v>
      </c>
      <c r="H23" s="174">
        <v>0</v>
      </c>
      <c r="I23" s="174">
        <v>0</v>
      </c>
      <c r="J23" s="174">
        <v>0</v>
      </c>
      <c r="K23" s="174">
        <v>0</v>
      </c>
      <c r="L23" s="174">
        <v>0</v>
      </c>
      <c r="M23" s="174">
        <v>0</v>
      </c>
      <c r="N23" s="174">
        <v>0</v>
      </c>
      <c r="O23" s="174">
        <v>0</v>
      </c>
      <c r="P23" s="175">
        <v>0</v>
      </c>
      <c r="Q23" s="62">
        <f t="shared" si="19"/>
        <v>0</v>
      </c>
      <c r="R23" s="33">
        <v>4</v>
      </c>
      <c r="S23" s="33">
        <v>8</v>
      </c>
      <c r="T23" s="33">
        <v>12</v>
      </c>
    </row>
    <row r="24" spans="1:20" ht="15" customHeight="1" x14ac:dyDescent="0.2">
      <c r="A24" s="285">
        <f t="shared" si="18"/>
        <v>0</v>
      </c>
      <c r="B24" s="286"/>
      <c r="C24" s="287"/>
      <c r="D24" s="243">
        <f>0%</f>
        <v>0</v>
      </c>
      <c r="E24" s="173">
        <f t="shared" ref="E24:E29" si="20">IF(E13=0,0,1)</f>
        <v>0</v>
      </c>
      <c r="F24" s="174">
        <f t="shared" ref="F24:F27" si="21">IF(F13=0,0,IF(E24&gt;0,E24,1))</f>
        <v>0</v>
      </c>
      <c r="G24" s="174">
        <f t="shared" ref="G24:G27" si="22">IF(G13=0,0,IF(F24&gt;0,F24,1))</f>
        <v>0</v>
      </c>
      <c r="H24" s="174">
        <f t="shared" ref="H24:H27" si="23">IF(H13=0,0,IF(G24&gt;0,G24,1))</f>
        <v>0</v>
      </c>
      <c r="I24" s="174">
        <f t="shared" ref="I24:I27" si="24">IF(I13=0,0,IF(H24&gt;0,H24,1))</f>
        <v>0</v>
      </c>
      <c r="J24" s="174">
        <f t="shared" ref="J24:J27" si="25">IF(J13=0,0,IF(I24&gt;0,I24,1))</f>
        <v>0</v>
      </c>
      <c r="K24" s="174">
        <f t="shared" ref="K24:K27" si="26">IF(K13=0,0,IF(J24&gt;0,J24,1))</f>
        <v>0</v>
      </c>
      <c r="L24" s="174">
        <f t="shared" ref="L24:L27" si="27">IF(L13=0,0,IF(K24&gt;0,K24,1))</f>
        <v>0</v>
      </c>
      <c r="M24" s="174">
        <f t="shared" ref="M24:M27" si="28">IF(M13=0,0,IF(L24&gt;0,L24,1))</f>
        <v>0</v>
      </c>
      <c r="N24" s="174">
        <f t="shared" ref="N24:N27" si="29">IF(N13=0,0,IF(M24&gt;0,M24,1))</f>
        <v>0</v>
      </c>
      <c r="O24" s="174">
        <f t="shared" ref="O24:O27" si="30">IF(O13=0,0,IF(N24&gt;0,N24,1))</f>
        <v>0</v>
      </c>
      <c r="P24" s="175">
        <f t="shared" ref="P24:P27" si="31">IF(P13=0,0,IF(O24&gt;0,O24,1))</f>
        <v>0</v>
      </c>
      <c r="Q24" s="62">
        <f t="shared" si="19"/>
        <v>0</v>
      </c>
      <c r="R24" s="33">
        <f t="shared" ref="R24:R29" si="32">IF(Q24=0,IF(R13&gt;0,12,0),(1+D24+R$19)*Q24/COUNTIF(E24:P24,"&gt;0")*12)</f>
        <v>0</v>
      </c>
      <c r="S24" s="33">
        <f t="shared" ref="S24:T29" si="33">IF(R24=0,IF(S13&gt;0,12,0),R24*(1+$D24+S$19))</f>
        <v>0</v>
      </c>
      <c r="T24" s="33">
        <f t="shared" si="33"/>
        <v>0</v>
      </c>
    </row>
    <row r="25" spans="1:20" ht="15" customHeight="1" x14ac:dyDescent="0.2">
      <c r="A25" s="285">
        <f t="shared" si="18"/>
        <v>0</v>
      </c>
      <c r="B25" s="286"/>
      <c r="C25" s="287"/>
      <c r="D25" s="243">
        <f>0%</f>
        <v>0</v>
      </c>
      <c r="E25" s="173">
        <f t="shared" si="20"/>
        <v>0</v>
      </c>
      <c r="F25" s="174">
        <f t="shared" si="21"/>
        <v>0</v>
      </c>
      <c r="G25" s="174">
        <f t="shared" si="22"/>
        <v>0</v>
      </c>
      <c r="H25" s="174">
        <f t="shared" si="23"/>
        <v>0</v>
      </c>
      <c r="I25" s="174">
        <f t="shared" si="24"/>
        <v>0</v>
      </c>
      <c r="J25" s="174">
        <f t="shared" si="25"/>
        <v>0</v>
      </c>
      <c r="K25" s="174">
        <f t="shared" si="26"/>
        <v>0</v>
      </c>
      <c r="L25" s="174">
        <f t="shared" si="27"/>
        <v>0</v>
      </c>
      <c r="M25" s="174">
        <f t="shared" si="28"/>
        <v>0</v>
      </c>
      <c r="N25" s="174">
        <f t="shared" si="29"/>
        <v>0</v>
      </c>
      <c r="O25" s="174">
        <f t="shared" si="30"/>
        <v>0</v>
      </c>
      <c r="P25" s="175">
        <f t="shared" si="31"/>
        <v>0</v>
      </c>
      <c r="Q25" s="62">
        <f t="shared" si="19"/>
        <v>0</v>
      </c>
      <c r="R25" s="33">
        <f t="shared" si="32"/>
        <v>0</v>
      </c>
      <c r="S25" s="33">
        <f t="shared" si="33"/>
        <v>0</v>
      </c>
      <c r="T25" s="33">
        <f t="shared" si="33"/>
        <v>0</v>
      </c>
    </row>
    <row r="26" spans="1:20" ht="15" customHeight="1" x14ac:dyDescent="0.2">
      <c r="A26" s="285">
        <f t="shared" si="18"/>
        <v>0</v>
      </c>
      <c r="B26" s="286"/>
      <c r="C26" s="287"/>
      <c r="D26" s="243">
        <f>0%</f>
        <v>0</v>
      </c>
      <c r="E26" s="173">
        <f t="shared" si="20"/>
        <v>0</v>
      </c>
      <c r="F26" s="174">
        <f t="shared" si="21"/>
        <v>0</v>
      </c>
      <c r="G26" s="174">
        <f t="shared" si="22"/>
        <v>0</v>
      </c>
      <c r="H26" s="174">
        <f t="shared" si="23"/>
        <v>0</v>
      </c>
      <c r="I26" s="174">
        <f t="shared" si="24"/>
        <v>0</v>
      </c>
      <c r="J26" s="174">
        <f t="shared" si="25"/>
        <v>0</v>
      </c>
      <c r="K26" s="174">
        <f t="shared" si="26"/>
        <v>0</v>
      </c>
      <c r="L26" s="174">
        <f t="shared" si="27"/>
        <v>0</v>
      </c>
      <c r="M26" s="174">
        <f t="shared" si="28"/>
        <v>0</v>
      </c>
      <c r="N26" s="174">
        <f t="shared" si="29"/>
        <v>0</v>
      </c>
      <c r="O26" s="174">
        <f t="shared" si="30"/>
        <v>0</v>
      </c>
      <c r="P26" s="175">
        <f t="shared" si="31"/>
        <v>0</v>
      </c>
      <c r="Q26" s="62">
        <f t="shared" si="19"/>
        <v>0</v>
      </c>
      <c r="R26" s="33">
        <f t="shared" si="32"/>
        <v>0</v>
      </c>
      <c r="S26" s="33">
        <f t="shared" si="33"/>
        <v>0</v>
      </c>
      <c r="T26" s="33">
        <f t="shared" si="33"/>
        <v>0</v>
      </c>
    </row>
    <row r="27" spans="1:20" ht="15" customHeight="1" x14ac:dyDescent="0.2">
      <c r="A27" s="285">
        <f t="shared" si="18"/>
        <v>0</v>
      </c>
      <c r="B27" s="286"/>
      <c r="C27" s="287"/>
      <c r="D27" s="243">
        <f>0%</f>
        <v>0</v>
      </c>
      <c r="E27" s="173">
        <f t="shared" si="20"/>
        <v>0</v>
      </c>
      <c r="F27" s="174">
        <f t="shared" si="21"/>
        <v>0</v>
      </c>
      <c r="G27" s="174">
        <f t="shared" si="22"/>
        <v>0</v>
      </c>
      <c r="H27" s="174">
        <f t="shared" si="23"/>
        <v>0</v>
      </c>
      <c r="I27" s="174">
        <f t="shared" si="24"/>
        <v>0</v>
      </c>
      <c r="J27" s="174">
        <f t="shared" si="25"/>
        <v>0</v>
      </c>
      <c r="K27" s="174">
        <f t="shared" si="26"/>
        <v>0</v>
      </c>
      <c r="L27" s="174">
        <f t="shared" si="27"/>
        <v>0</v>
      </c>
      <c r="M27" s="174">
        <f t="shared" si="28"/>
        <v>0</v>
      </c>
      <c r="N27" s="174">
        <f t="shared" si="29"/>
        <v>0</v>
      </c>
      <c r="O27" s="174">
        <f t="shared" si="30"/>
        <v>0</v>
      </c>
      <c r="P27" s="175">
        <f t="shared" si="31"/>
        <v>0</v>
      </c>
      <c r="Q27" s="62">
        <f t="shared" si="19"/>
        <v>0</v>
      </c>
      <c r="R27" s="33">
        <f t="shared" si="32"/>
        <v>0</v>
      </c>
      <c r="S27" s="33">
        <f t="shared" si="33"/>
        <v>0</v>
      </c>
      <c r="T27" s="33">
        <f t="shared" si="33"/>
        <v>0</v>
      </c>
    </row>
    <row r="28" spans="1:20" ht="15" customHeight="1" x14ac:dyDescent="0.2">
      <c r="A28" s="285">
        <f>A17</f>
        <v>0</v>
      </c>
      <c r="B28" s="286"/>
      <c r="C28" s="287"/>
      <c r="D28" s="243">
        <f>0%</f>
        <v>0</v>
      </c>
      <c r="E28" s="173">
        <f t="shared" si="20"/>
        <v>0</v>
      </c>
      <c r="F28" s="174">
        <f t="shared" ref="F28:P28" si="34">IF(F17=0,0,IF(E28&gt;0,E28,1))</f>
        <v>0</v>
      </c>
      <c r="G28" s="174">
        <f t="shared" si="34"/>
        <v>0</v>
      </c>
      <c r="H28" s="174">
        <f t="shared" si="34"/>
        <v>0</v>
      </c>
      <c r="I28" s="174">
        <f t="shared" si="34"/>
        <v>0</v>
      </c>
      <c r="J28" s="174">
        <f t="shared" si="34"/>
        <v>0</v>
      </c>
      <c r="K28" s="174">
        <f t="shared" si="34"/>
        <v>0</v>
      </c>
      <c r="L28" s="174">
        <f t="shared" si="34"/>
        <v>0</v>
      </c>
      <c r="M28" s="174">
        <f t="shared" si="34"/>
        <v>0</v>
      </c>
      <c r="N28" s="174">
        <f t="shared" si="34"/>
        <v>0</v>
      </c>
      <c r="O28" s="174">
        <f t="shared" si="34"/>
        <v>0</v>
      </c>
      <c r="P28" s="175">
        <f t="shared" si="34"/>
        <v>0</v>
      </c>
      <c r="Q28" s="62">
        <f>SUM(E28:P28)</f>
        <v>0</v>
      </c>
      <c r="R28" s="33">
        <f t="shared" si="32"/>
        <v>0</v>
      </c>
      <c r="S28" s="33">
        <f t="shared" si="33"/>
        <v>0</v>
      </c>
      <c r="T28" s="33">
        <f t="shared" si="33"/>
        <v>0</v>
      </c>
    </row>
    <row r="29" spans="1:20" ht="15" customHeight="1" x14ac:dyDescent="0.2">
      <c r="A29" s="285">
        <f>A18</f>
        <v>0</v>
      </c>
      <c r="B29" s="286"/>
      <c r="C29" s="287"/>
      <c r="D29" s="243">
        <f>0%</f>
        <v>0</v>
      </c>
      <c r="E29" s="173">
        <f t="shared" si="20"/>
        <v>0</v>
      </c>
      <c r="F29" s="174">
        <f t="shared" ref="F29:P29" si="35">IF(F18=0,0,IF(E29&gt;0,E29,1))</f>
        <v>0</v>
      </c>
      <c r="G29" s="174">
        <f t="shared" si="35"/>
        <v>0</v>
      </c>
      <c r="H29" s="174">
        <f t="shared" si="35"/>
        <v>0</v>
      </c>
      <c r="I29" s="174">
        <f t="shared" si="35"/>
        <v>0</v>
      </c>
      <c r="J29" s="174">
        <f t="shared" si="35"/>
        <v>0</v>
      </c>
      <c r="K29" s="174">
        <f t="shared" si="35"/>
        <v>0</v>
      </c>
      <c r="L29" s="174">
        <f t="shared" si="35"/>
        <v>0</v>
      </c>
      <c r="M29" s="174">
        <f t="shared" si="35"/>
        <v>0</v>
      </c>
      <c r="N29" s="174">
        <f t="shared" si="35"/>
        <v>0</v>
      </c>
      <c r="O29" s="174">
        <f t="shared" si="35"/>
        <v>0</v>
      </c>
      <c r="P29" s="175">
        <f t="shared" si="35"/>
        <v>0</v>
      </c>
      <c r="Q29" s="62">
        <f>SUM(E29:P29)</f>
        <v>0</v>
      </c>
      <c r="R29" s="33">
        <f t="shared" si="32"/>
        <v>0</v>
      </c>
      <c r="S29" s="33">
        <f t="shared" si="33"/>
        <v>0</v>
      </c>
      <c r="T29" s="33">
        <f t="shared" si="33"/>
        <v>0</v>
      </c>
    </row>
    <row r="30" spans="1:20" ht="15" customHeight="1" x14ac:dyDescent="0.2">
      <c r="A30" s="289" t="str">
        <f>CONCATENATE("Summe ",A19)</f>
        <v>Summe Absatzmengen</v>
      </c>
      <c r="B30" s="290"/>
      <c r="C30" s="291"/>
      <c r="D30" s="246">
        <f>(IF(Q30=0,0,IF(Q30&gt;0,1,-1)*(R30/(Q30/(COUNTIF(E30:P30,"&gt;0")+COUNTIF(E30:P30,"&lt;0"))*12)-1))+IF(R30=0,0,IF(R30&gt;0,1,-1)*(S30/R30-1))+IF(S30=0,0,IF(S30&gt;0,1,-1)*(T30/S30-1)))/3</f>
        <v>0.3666666666666667</v>
      </c>
      <c r="E30" s="65">
        <f>SUM(E20:E29)</f>
        <v>0</v>
      </c>
      <c r="F30" s="66">
        <f t="shared" ref="F30:O30" si="36">SUM(F20:F29)</f>
        <v>0</v>
      </c>
      <c r="G30" s="66">
        <f t="shared" si="36"/>
        <v>0</v>
      </c>
      <c r="H30" s="66">
        <f t="shared" si="36"/>
        <v>0</v>
      </c>
      <c r="I30" s="66">
        <f t="shared" si="36"/>
        <v>0</v>
      </c>
      <c r="J30" s="66">
        <f t="shared" si="36"/>
        <v>0</v>
      </c>
      <c r="K30" s="66">
        <f t="shared" si="36"/>
        <v>0</v>
      </c>
      <c r="L30" s="66">
        <f t="shared" si="36"/>
        <v>0</v>
      </c>
      <c r="M30" s="66">
        <f t="shared" si="36"/>
        <v>0</v>
      </c>
      <c r="N30" s="66">
        <f t="shared" si="36"/>
        <v>2</v>
      </c>
      <c r="O30" s="66">
        <f t="shared" si="36"/>
        <v>3</v>
      </c>
      <c r="P30" s="67">
        <f>SUM(P20:P29)</f>
        <v>5</v>
      </c>
      <c r="Q30" s="62">
        <f>SUM(E30:P30)</f>
        <v>10</v>
      </c>
      <c r="R30" s="62">
        <f>SUM(R20:R29)</f>
        <v>24</v>
      </c>
      <c r="S30" s="62">
        <f>SUM(S20:S29)</f>
        <v>48</v>
      </c>
      <c r="T30" s="62">
        <f>SUM(T20:T29)</f>
        <v>72</v>
      </c>
    </row>
    <row r="31" spans="1:20" ht="15" customHeight="1" x14ac:dyDescent="0.2">
      <c r="A31" s="289" t="str">
        <f>'Plan-G&amp;V'!A8</f>
        <v>Umsatzerlöse brutto</v>
      </c>
      <c r="B31" s="286"/>
      <c r="C31" s="286"/>
      <c r="D31" s="240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251" t="str">
        <f>"+/-"</f>
        <v>+/-</v>
      </c>
      <c r="R31" s="246">
        <f>IF(Q42=0,0,R42/(Q42/COUNTIF(E42:P42,"&lt;&gt;0")*12)-1)</f>
        <v>0</v>
      </c>
      <c r="S31" s="246">
        <f>IF(R42=0,0,S42/R42-1)</f>
        <v>1</v>
      </c>
      <c r="T31" s="246">
        <f>IF(S42=0,0,T42/S42-1)</f>
        <v>0.5</v>
      </c>
    </row>
    <row r="32" spans="1:20" ht="15" customHeight="1" x14ac:dyDescent="0.2">
      <c r="A32" s="285" t="str">
        <f>A9</f>
        <v>Pilotprojekt</v>
      </c>
      <c r="B32" s="286"/>
      <c r="C32" s="287"/>
      <c r="D32" s="250">
        <f>(IF(Q32=0,0,IF(Q32&gt;0,1,-1)*(R32/(Q32/(COUNTIF(E32:P32,"&gt;0")+COUNTIF(E32:P32,"&lt;0"))*12)-1))+IF(R32=0,0,IF(R32&gt;0,1,-1)*(S32/R32-1))+IF(S32=0,0,IF(S32&gt;0,1,-1)*(T32/S32-1)))/3</f>
        <v>0</v>
      </c>
      <c r="E32" s="169">
        <f>E9*E20</f>
        <v>0</v>
      </c>
      <c r="F32" s="170">
        <f t="shared" ref="F32:P32" si="37">F9*F20</f>
        <v>0</v>
      </c>
      <c r="G32" s="170">
        <f t="shared" si="37"/>
        <v>0</v>
      </c>
      <c r="H32" s="170">
        <f t="shared" si="37"/>
        <v>0</v>
      </c>
      <c r="I32" s="170">
        <f>I9*I20</f>
        <v>0</v>
      </c>
      <c r="J32" s="170">
        <f t="shared" si="37"/>
        <v>0</v>
      </c>
      <c r="K32" s="170">
        <f t="shared" si="37"/>
        <v>0</v>
      </c>
      <c r="L32" s="170">
        <f t="shared" si="37"/>
        <v>0</v>
      </c>
      <c r="M32" s="170">
        <f t="shared" si="37"/>
        <v>0</v>
      </c>
      <c r="N32" s="170">
        <f t="shared" si="37"/>
        <v>0</v>
      </c>
      <c r="O32" s="170">
        <f t="shared" si="37"/>
        <v>0</v>
      </c>
      <c r="P32" s="171">
        <f t="shared" si="37"/>
        <v>0</v>
      </c>
      <c r="Q32" s="62">
        <f>SUM(E32:P32)</f>
        <v>0</v>
      </c>
      <c r="R32" s="62">
        <f t="shared" ref="R32:T33" si="38">R9*R20</f>
        <v>0</v>
      </c>
      <c r="S32" s="62">
        <f t="shared" si="38"/>
        <v>0</v>
      </c>
      <c r="T32" s="62">
        <f t="shared" si="38"/>
        <v>0</v>
      </c>
    </row>
    <row r="33" spans="1:20" ht="15" customHeight="1" x14ac:dyDescent="0.2">
      <c r="A33" s="285" t="str">
        <f>A10</f>
        <v>Starter Abo</v>
      </c>
      <c r="B33" s="286"/>
      <c r="C33" s="287"/>
      <c r="D33" s="250">
        <f t="shared" ref="D33:D42" si="39">(IF(Q33=0,0,IF(Q33&gt;0,1,-1)*(R33/(Q33/(COUNTIF(E33:P33,"&gt;0")+COUNTIF(E33:P33,"&lt;0"))*12)-1))+IF(R33=0,0,IF(R33&gt;0,1,-1)*(S33/R33-1))+IF(S33=0,0,IF(S33&gt;0,1,-1)*(T33/S33-1)))/3</f>
        <v>0.5</v>
      </c>
      <c r="E33" s="169">
        <f t="shared" ref="E33:P33" si="40">E10*E21</f>
        <v>0</v>
      </c>
      <c r="F33" s="170">
        <f t="shared" si="40"/>
        <v>0</v>
      </c>
      <c r="G33" s="170">
        <f>G10*G21</f>
        <v>0</v>
      </c>
      <c r="H33" s="170">
        <f t="shared" si="40"/>
        <v>0</v>
      </c>
      <c r="I33" s="170">
        <f t="shared" si="40"/>
        <v>0</v>
      </c>
      <c r="J33" s="170">
        <f t="shared" si="40"/>
        <v>0</v>
      </c>
      <c r="K33" s="170">
        <f t="shared" si="40"/>
        <v>0</v>
      </c>
      <c r="L33" s="170">
        <f t="shared" si="40"/>
        <v>0</v>
      </c>
      <c r="M33" s="170">
        <f t="shared" si="40"/>
        <v>0</v>
      </c>
      <c r="N33" s="170">
        <f t="shared" si="40"/>
        <v>0</v>
      </c>
      <c r="O33" s="170">
        <f t="shared" si="40"/>
        <v>0</v>
      </c>
      <c r="P33" s="171">
        <f t="shared" si="40"/>
        <v>0</v>
      </c>
      <c r="Q33" s="62">
        <f>SUM(E33:P33)</f>
        <v>0</v>
      </c>
      <c r="R33" s="62">
        <f t="shared" si="38"/>
        <v>21600</v>
      </c>
      <c r="S33" s="62">
        <f t="shared" si="38"/>
        <v>43200</v>
      </c>
      <c r="T33" s="62">
        <f t="shared" si="38"/>
        <v>64800</v>
      </c>
    </row>
    <row r="34" spans="1:20" ht="15" customHeight="1" x14ac:dyDescent="0.2">
      <c r="A34" s="285" t="str">
        <f t="shared" ref="A34:A39" si="41">A11</f>
        <v>Professional Abo</v>
      </c>
      <c r="B34" s="286"/>
      <c r="C34" s="287"/>
      <c r="D34" s="250">
        <f t="shared" si="39"/>
        <v>0.5</v>
      </c>
      <c r="E34" s="169">
        <f t="shared" ref="E34:P34" si="42">E11*E22</f>
        <v>0</v>
      </c>
      <c r="F34" s="170">
        <f t="shared" si="42"/>
        <v>0</v>
      </c>
      <c r="G34" s="170">
        <f t="shared" si="42"/>
        <v>0</v>
      </c>
      <c r="H34" s="170">
        <f t="shared" si="42"/>
        <v>0</v>
      </c>
      <c r="I34" s="170">
        <f t="shared" si="42"/>
        <v>0</v>
      </c>
      <c r="J34" s="170">
        <f t="shared" si="42"/>
        <v>0</v>
      </c>
      <c r="K34" s="170">
        <f t="shared" si="42"/>
        <v>0</v>
      </c>
      <c r="L34" s="170">
        <f t="shared" si="42"/>
        <v>0</v>
      </c>
      <c r="M34" s="170">
        <f t="shared" si="42"/>
        <v>0</v>
      </c>
      <c r="N34" s="170">
        <f t="shared" si="42"/>
        <v>0</v>
      </c>
      <c r="O34" s="170">
        <f t="shared" si="42"/>
        <v>0</v>
      </c>
      <c r="P34" s="171">
        <f t="shared" si="42"/>
        <v>0</v>
      </c>
      <c r="Q34" s="62">
        <f t="shared" ref="Q34:Q39" si="43">SUM(E34:P34)</f>
        <v>0</v>
      </c>
      <c r="R34" s="62">
        <f t="shared" ref="R34:T34" si="44">R11*R22</f>
        <v>28800</v>
      </c>
      <c r="S34" s="62">
        <f t="shared" si="44"/>
        <v>57600</v>
      </c>
      <c r="T34" s="62">
        <f t="shared" si="44"/>
        <v>86400</v>
      </c>
    </row>
    <row r="35" spans="1:20" ht="15" customHeight="1" x14ac:dyDescent="0.2">
      <c r="A35" s="285" t="str">
        <f t="shared" si="41"/>
        <v xml:space="preserve">Enterprise Abo </v>
      </c>
      <c r="B35" s="286"/>
      <c r="C35" s="287"/>
      <c r="D35" s="250">
        <f t="shared" si="39"/>
        <v>0.5</v>
      </c>
      <c r="E35" s="169">
        <f t="shared" ref="E35:P35" si="45">E12*E23</f>
        <v>0</v>
      </c>
      <c r="F35" s="170">
        <f t="shared" si="45"/>
        <v>0</v>
      </c>
      <c r="G35" s="170">
        <f t="shared" si="45"/>
        <v>0</v>
      </c>
      <c r="H35" s="170">
        <f t="shared" si="45"/>
        <v>0</v>
      </c>
      <c r="I35" s="170">
        <f t="shared" si="45"/>
        <v>0</v>
      </c>
      <c r="J35" s="170">
        <f t="shared" si="45"/>
        <v>0</v>
      </c>
      <c r="K35" s="170">
        <f t="shared" si="45"/>
        <v>0</v>
      </c>
      <c r="L35" s="170">
        <f t="shared" si="45"/>
        <v>0</v>
      </c>
      <c r="M35" s="170">
        <f t="shared" si="45"/>
        <v>0</v>
      </c>
      <c r="N35" s="170">
        <f t="shared" si="45"/>
        <v>0</v>
      </c>
      <c r="O35" s="170">
        <f t="shared" si="45"/>
        <v>0</v>
      </c>
      <c r="P35" s="171">
        <f t="shared" si="45"/>
        <v>0</v>
      </c>
      <c r="Q35" s="62">
        <f t="shared" si="43"/>
        <v>0</v>
      </c>
      <c r="R35" s="62">
        <f t="shared" ref="R35:T35" si="46">R12*R23</f>
        <v>34560</v>
      </c>
      <c r="S35" s="62">
        <f t="shared" si="46"/>
        <v>69120</v>
      </c>
      <c r="T35" s="62">
        <f t="shared" si="46"/>
        <v>103680</v>
      </c>
    </row>
    <row r="36" spans="1:20" ht="15" customHeight="1" x14ac:dyDescent="0.2">
      <c r="A36" s="285">
        <f t="shared" si="41"/>
        <v>0</v>
      </c>
      <c r="B36" s="286"/>
      <c r="C36" s="287"/>
      <c r="D36" s="250">
        <f t="shared" si="39"/>
        <v>0</v>
      </c>
      <c r="E36" s="169">
        <f t="shared" ref="E36:P36" si="47">E13*E24</f>
        <v>0</v>
      </c>
      <c r="F36" s="170">
        <f t="shared" si="47"/>
        <v>0</v>
      </c>
      <c r="G36" s="170">
        <f t="shared" si="47"/>
        <v>0</v>
      </c>
      <c r="H36" s="170">
        <f t="shared" si="47"/>
        <v>0</v>
      </c>
      <c r="I36" s="170">
        <f t="shared" si="47"/>
        <v>0</v>
      </c>
      <c r="J36" s="170">
        <f t="shared" si="47"/>
        <v>0</v>
      </c>
      <c r="K36" s="170">
        <f t="shared" si="47"/>
        <v>0</v>
      </c>
      <c r="L36" s="170">
        <f t="shared" si="47"/>
        <v>0</v>
      </c>
      <c r="M36" s="170">
        <f t="shared" si="47"/>
        <v>0</v>
      </c>
      <c r="N36" s="170">
        <f t="shared" si="47"/>
        <v>0</v>
      </c>
      <c r="O36" s="170">
        <f t="shared" si="47"/>
        <v>0</v>
      </c>
      <c r="P36" s="171">
        <f t="shared" si="47"/>
        <v>0</v>
      </c>
      <c r="Q36" s="62">
        <f t="shared" si="43"/>
        <v>0</v>
      </c>
      <c r="R36" s="62">
        <f t="shared" ref="R36:T36" si="48">R13*R24</f>
        <v>0</v>
      </c>
      <c r="S36" s="62">
        <f t="shared" si="48"/>
        <v>0</v>
      </c>
      <c r="T36" s="62">
        <f t="shared" si="48"/>
        <v>0</v>
      </c>
    </row>
    <row r="37" spans="1:20" ht="15" customHeight="1" x14ac:dyDescent="0.2">
      <c r="A37" s="285">
        <f t="shared" si="41"/>
        <v>0</v>
      </c>
      <c r="B37" s="286"/>
      <c r="C37" s="287"/>
      <c r="D37" s="250">
        <f t="shared" si="39"/>
        <v>0</v>
      </c>
      <c r="E37" s="169">
        <f t="shared" ref="E37:P37" si="49">E14*E25</f>
        <v>0</v>
      </c>
      <c r="F37" s="170">
        <f t="shared" si="49"/>
        <v>0</v>
      </c>
      <c r="G37" s="170">
        <f t="shared" si="49"/>
        <v>0</v>
      </c>
      <c r="H37" s="170">
        <f t="shared" si="49"/>
        <v>0</v>
      </c>
      <c r="I37" s="170">
        <f t="shared" si="49"/>
        <v>0</v>
      </c>
      <c r="J37" s="170">
        <f t="shared" si="49"/>
        <v>0</v>
      </c>
      <c r="K37" s="170">
        <f t="shared" si="49"/>
        <v>0</v>
      </c>
      <c r="L37" s="170">
        <f t="shared" si="49"/>
        <v>0</v>
      </c>
      <c r="M37" s="170">
        <f t="shared" si="49"/>
        <v>0</v>
      </c>
      <c r="N37" s="170">
        <f t="shared" si="49"/>
        <v>0</v>
      </c>
      <c r="O37" s="170">
        <f t="shared" si="49"/>
        <v>0</v>
      </c>
      <c r="P37" s="171">
        <f t="shared" si="49"/>
        <v>0</v>
      </c>
      <c r="Q37" s="62">
        <f t="shared" si="43"/>
        <v>0</v>
      </c>
      <c r="R37" s="62">
        <f t="shared" ref="R37:T37" si="50">R14*R25</f>
        <v>0</v>
      </c>
      <c r="S37" s="62">
        <f t="shared" si="50"/>
        <v>0</v>
      </c>
      <c r="T37" s="62">
        <f t="shared" si="50"/>
        <v>0</v>
      </c>
    </row>
    <row r="38" spans="1:20" ht="15" customHeight="1" x14ac:dyDescent="0.2">
      <c r="A38" s="285">
        <f t="shared" si="41"/>
        <v>0</v>
      </c>
      <c r="B38" s="286"/>
      <c r="C38" s="287"/>
      <c r="D38" s="250">
        <f t="shared" si="39"/>
        <v>0</v>
      </c>
      <c r="E38" s="169">
        <f t="shared" ref="E38:P38" si="51">E15*E26</f>
        <v>0</v>
      </c>
      <c r="F38" s="170">
        <f t="shared" si="51"/>
        <v>0</v>
      </c>
      <c r="G38" s="170">
        <f t="shared" si="51"/>
        <v>0</v>
      </c>
      <c r="H38" s="170">
        <f t="shared" si="51"/>
        <v>0</v>
      </c>
      <c r="I38" s="170">
        <f t="shared" si="51"/>
        <v>0</v>
      </c>
      <c r="J38" s="170">
        <f t="shared" si="51"/>
        <v>0</v>
      </c>
      <c r="K38" s="170">
        <f t="shared" si="51"/>
        <v>0</v>
      </c>
      <c r="L38" s="170">
        <f t="shared" si="51"/>
        <v>0</v>
      </c>
      <c r="M38" s="170">
        <f t="shared" si="51"/>
        <v>0</v>
      </c>
      <c r="N38" s="170">
        <f t="shared" si="51"/>
        <v>0</v>
      </c>
      <c r="O38" s="170">
        <f t="shared" si="51"/>
        <v>0</v>
      </c>
      <c r="P38" s="171">
        <f t="shared" si="51"/>
        <v>0</v>
      </c>
      <c r="Q38" s="62">
        <f t="shared" si="43"/>
        <v>0</v>
      </c>
      <c r="R38" s="62">
        <f t="shared" ref="R38:T38" si="52">R15*R26</f>
        <v>0</v>
      </c>
      <c r="S38" s="62">
        <f t="shared" si="52"/>
        <v>0</v>
      </c>
      <c r="T38" s="62">
        <f t="shared" si="52"/>
        <v>0</v>
      </c>
    </row>
    <row r="39" spans="1:20" ht="15" customHeight="1" x14ac:dyDescent="0.2">
      <c r="A39" s="285">
        <f t="shared" si="41"/>
        <v>0</v>
      </c>
      <c r="B39" s="286"/>
      <c r="C39" s="287"/>
      <c r="D39" s="250">
        <f t="shared" si="39"/>
        <v>0</v>
      </c>
      <c r="E39" s="169">
        <f t="shared" ref="E39:P39" si="53">E16*E27</f>
        <v>0</v>
      </c>
      <c r="F39" s="170">
        <f t="shared" si="53"/>
        <v>0</v>
      </c>
      <c r="G39" s="170">
        <f t="shared" si="53"/>
        <v>0</v>
      </c>
      <c r="H39" s="170">
        <f t="shared" si="53"/>
        <v>0</v>
      </c>
      <c r="I39" s="170">
        <f t="shared" si="53"/>
        <v>0</v>
      </c>
      <c r="J39" s="170">
        <f t="shared" si="53"/>
        <v>0</v>
      </c>
      <c r="K39" s="170">
        <f t="shared" si="53"/>
        <v>0</v>
      </c>
      <c r="L39" s="170">
        <f t="shared" si="53"/>
        <v>0</v>
      </c>
      <c r="M39" s="170">
        <f t="shared" si="53"/>
        <v>0</v>
      </c>
      <c r="N39" s="170">
        <f t="shared" si="53"/>
        <v>0</v>
      </c>
      <c r="O39" s="170">
        <f t="shared" si="53"/>
        <v>0</v>
      </c>
      <c r="P39" s="171">
        <f t="shared" si="53"/>
        <v>0</v>
      </c>
      <c r="Q39" s="62">
        <f t="shared" si="43"/>
        <v>0</v>
      </c>
      <c r="R39" s="62">
        <f t="shared" ref="R39:T39" si="54">R16*R27</f>
        <v>0</v>
      </c>
      <c r="S39" s="62">
        <f t="shared" si="54"/>
        <v>0</v>
      </c>
      <c r="T39" s="62">
        <f t="shared" si="54"/>
        <v>0</v>
      </c>
    </row>
    <row r="40" spans="1:20" ht="15" customHeight="1" x14ac:dyDescent="0.2">
      <c r="A40" s="285">
        <f>A17</f>
        <v>0</v>
      </c>
      <c r="B40" s="286"/>
      <c r="C40" s="287"/>
      <c r="D40" s="250">
        <f t="shared" si="39"/>
        <v>0</v>
      </c>
      <c r="E40" s="169">
        <f t="shared" ref="E40:P40" si="55">E17*E28</f>
        <v>0</v>
      </c>
      <c r="F40" s="170">
        <f t="shared" si="55"/>
        <v>0</v>
      </c>
      <c r="G40" s="170">
        <f t="shared" si="55"/>
        <v>0</v>
      </c>
      <c r="H40" s="170">
        <f t="shared" si="55"/>
        <v>0</v>
      </c>
      <c r="I40" s="170">
        <f t="shared" si="55"/>
        <v>0</v>
      </c>
      <c r="J40" s="170">
        <f t="shared" si="55"/>
        <v>0</v>
      </c>
      <c r="K40" s="170">
        <f t="shared" si="55"/>
        <v>0</v>
      </c>
      <c r="L40" s="170">
        <f t="shared" si="55"/>
        <v>0</v>
      </c>
      <c r="M40" s="170">
        <f t="shared" si="55"/>
        <v>0</v>
      </c>
      <c r="N40" s="170">
        <f t="shared" si="55"/>
        <v>0</v>
      </c>
      <c r="O40" s="170">
        <f t="shared" si="55"/>
        <v>0</v>
      </c>
      <c r="P40" s="171">
        <f t="shared" si="55"/>
        <v>0</v>
      </c>
      <c r="Q40" s="62">
        <f>SUM(E40:P40)</f>
        <v>0</v>
      </c>
      <c r="R40" s="62">
        <f t="shared" ref="R40:T41" si="56">R17*R28</f>
        <v>0</v>
      </c>
      <c r="S40" s="62">
        <f t="shared" si="56"/>
        <v>0</v>
      </c>
      <c r="T40" s="62">
        <f t="shared" si="56"/>
        <v>0</v>
      </c>
    </row>
    <row r="41" spans="1:20" ht="15" customHeight="1" x14ac:dyDescent="0.2">
      <c r="A41" s="285">
        <f>A18</f>
        <v>0</v>
      </c>
      <c r="B41" s="286"/>
      <c r="C41" s="287"/>
      <c r="D41" s="250">
        <f t="shared" si="39"/>
        <v>0</v>
      </c>
      <c r="E41" s="169">
        <f t="shared" ref="E41:P41" si="57">E18*E29</f>
        <v>0</v>
      </c>
      <c r="F41" s="170">
        <f t="shared" si="57"/>
        <v>0</v>
      </c>
      <c r="G41" s="170">
        <f t="shared" si="57"/>
        <v>0</v>
      </c>
      <c r="H41" s="170">
        <f t="shared" si="57"/>
        <v>0</v>
      </c>
      <c r="I41" s="170">
        <f t="shared" si="57"/>
        <v>0</v>
      </c>
      <c r="J41" s="170">
        <f t="shared" si="57"/>
        <v>0</v>
      </c>
      <c r="K41" s="170">
        <f t="shared" si="57"/>
        <v>0</v>
      </c>
      <c r="L41" s="170">
        <f t="shared" si="57"/>
        <v>0</v>
      </c>
      <c r="M41" s="170">
        <f t="shared" si="57"/>
        <v>0</v>
      </c>
      <c r="N41" s="170">
        <f>N18*N29</f>
        <v>0</v>
      </c>
      <c r="O41" s="170">
        <f t="shared" si="57"/>
        <v>0</v>
      </c>
      <c r="P41" s="171">
        <f t="shared" si="57"/>
        <v>0</v>
      </c>
      <c r="Q41" s="62">
        <f>SUM(E41:P41)</f>
        <v>0</v>
      </c>
      <c r="R41" s="62">
        <f t="shared" si="56"/>
        <v>0</v>
      </c>
      <c r="S41" s="62">
        <f t="shared" si="56"/>
        <v>0</v>
      </c>
      <c r="T41" s="62">
        <f t="shared" si="56"/>
        <v>0</v>
      </c>
    </row>
    <row r="42" spans="1:20" ht="15" customHeight="1" x14ac:dyDescent="0.2">
      <c r="A42" s="289" t="str">
        <f>CONCATENATE("Summe ",A31)</f>
        <v>Summe Umsatzerlöse brutto</v>
      </c>
      <c r="B42" s="290"/>
      <c r="C42" s="291"/>
      <c r="D42" s="246">
        <f t="shared" si="39"/>
        <v>0.5</v>
      </c>
      <c r="E42" s="165">
        <f t="shared" ref="E42:P42" si="58">SUM(E32:E41)</f>
        <v>0</v>
      </c>
      <c r="F42" s="166">
        <f t="shared" si="58"/>
        <v>0</v>
      </c>
      <c r="G42" s="166">
        <f t="shared" si="58"/>
        <v>0</v>
      </c>
      <c r="H42" s="166">
        <f t="shared" si="58"/>
        <v>0</v>
      </c>
      <c r="I42" s="166">
        <f t="shared" si="58"/>
        <v>0</v>
      </c>
      <c r="J42" s="166">
        <f t="shared" si="58"/>
        <v>0</v>
      </c>
      <c r="K42" s="166">
        <f t="shared" si="58"/>
        <v>0</v>
      </c>
      <c r="L42" s="166">
        <f t="shared" si="58"/>
        <v>0</v>
      </c>
      <c r="M42" s="166">
        <f t="shared" si="58"/>
        <v>0</v>
      </c>
      <c r="N42" s="166">
        <f t="shared" si="58"/>
        <v>0</v>
      </c>
      <c r="O42" s="166">
        <f t="shared" si="58"/>
        <v>0</v>
      </c>
      <c r="P42" s="167">
        <f t="shared" si="58"/>
        <v>0</v>
      </c>
      <c r="Q42" s="168">
        <f>SUM(E42:P42)</f>
        <v>0</v>
      </c>
      <c r="R42" s="168">
        <f>SUM(R32:R41)</f>
        <v>84960</v>
      </c>
      <c r="S42" s="168">
        <f>SUM(S32:S41)</f>
        <v>169920</v>
      </c>
      <c r="T42" s="168">
        <f>SUM(T32:T41)</f>
        <v>254880</v>
      </c>
    </row>
    <row r="43" spans="1:20" ht="15" customHeight="1" x14ac:dyDescent="0.2">
      <c r="A43" s="289" t="str">
        <f>'Plan-G&amp;V'!A9</f>
        <v>Umsatzsteuer</v>
      </c>
      <c r="B43" s="286"/>
      <c r="C43" s="286"/>
      <c r="D43" s="240"/>
      <c r="E43" s="176"/>
      <c r="F43" s="176"/>
      <c r="G43" s="176"/>
      <c r="H43" s="176"/>
      <c r="I43" s="176"/>
      <c r="J43" s="176"/>
      <c r="K43" s="176"/>
      <c r="L43" s="176"/>
      <c r="M43" s="176"/>
      <c r="N43" s="176"/>
      <c r="O43" s="176"/>
      <c r="P43" s="176"/>
      <c r="Q43" s="251" t="str">
        <f>"+/-"</f>
        <v>+/-</v>
      </c>
      <c r="R43" s="252">
        <f>ROUND(IF(Q54=0,0,R54/(Q54/COUNTIF(E54:P54,"&lt;&gt;0")*12)-1),2)</f>
        <v>0</v>
      </c>
      <c r="S43" s="252">
        <f>IF(R54=0,0,S54/R54-1)</f>
        <v>1</v>
      </c>
      <c r="T43" s="252">
        <f>IF(S54=0,0,T54/S54-1)</f>
        <v>0.5</v>
      </c>
    </row>
    <row r="44" spans="1:20" ht="15" customHeight="1" x14ac:dyDescent="0.2">
      <c r="A44" s="285" t="str">
        <f>A9</f>
        <v>Pilotprojekt</v>
      </c>
      <c r="B44" s="288"/>
      <c r="C44" s="163">
        <f>C9</f>
        <v>0.2</v>
      </c>
      <c r="D44" s="253">
        <f>ROUND((IF(Q44=0,0,IF(Q44&gt;0,1,-1)*(R44/(Q44/(COUNTIF(E44:P44,"&gt;0")+COUNTIF(E44:P44,"&lt;0"))*12)-1))+IF(R44=0,0,IF(R44&gt;0,1,-1)*(S44/R44-1))+IF(S44=0,0,IF(S44&gt;0,1,-1)*(T44/S44-1)))/3,2)</f>
        <v>0</v>
      </c>
      <c r="E44" s="169">
        <f>E32/(1+$C44)*$C44</f>
        <v>0</v>
      </c>
      <c r="F44" s="170">
        <f t="shared" ref="F44:P44" si="59">F32/(1+$C44)*$C44</f>
        <v>0</v>
      </c>
      <c r="G44" s="170">
        <f t="shared" si="59"/>
        <v>0</v>
      </c>
      <c r="H44" s="170">
        <f t="shared" si="59"/>
        <v>0</v>
      </c>
      <c r="I44" s="170">
        <f t="shared" si="59"/>
        <v>0</v>
      </c>
      <c r="J44" s="170">
        <f t="shared" si="59"/>
        <v>0</v>
      </c>
      <c r="K44" s="170">
        <f t="shared" si="59"/>
        <v>0</v>
      </c>
      <c r="L44" s="170">
        <f t="shared" si="59"/>
        <v>0</v>
      </c>
      <c r="M44" s="170">
        <f t="shared" si="59"/>
        <v>0</v>
      </c>
      <c r="N44" s="170">
        <f t="shared" si="59"/>
        <v>0</v>
      </c>
      <c r="O44" s="170">
        <f t="shared" si="59"/>
        <v>0</v>
      </c>
      <c r="P44" s="171">
        <f t="shared" si="59"/>
        <v>0</v>
      </c>
      <c r="Q44" s="168">
        <f>SUM(E44:P44)</f>
        <v>0</v>
      </c>
      <c r="R44" s="177">
        <f t="shared" ref="R44:T45" si="60">R32/(1+$C44)*$C44</f>
        <v>0</v>
      </c>
      <c r="S44" s="177">
        <f t="shared" si="60"/>
        <v>0</v>
      </c>
      <c r="T44" s="177">
        <f t="shared" si="60"/>
        <v>0</v>
      </c>
    </row>
    <row r="45" spans="1:20" ht="15" customHeight="1" x14ac:dyDescent="0.2">
      <c r="A45" s="285" t="str">
        <f>A10</f>
        <v>Starter Abo</v>
      </c>
      <c r="B45" s="288"/>
      <c r="C45" s="163">
        <f>C10</f>
        <v>0.2</v>
      </c>
      <c r="D45" s="253">
        <f t="shared" ref="D45:D54" si="61">ROUND((IF(Q45=0,0,IF(Q45&gt;0,1,-1)*(R45/(Q45/(COUNTIF(E45:P45,"&gt;0")+COUNTIF(E45:P45,"&lt;0"))*12)-1))+IF(R45=0,0,IF(R45&gt;0,1,-1)*(S45/R45-1))+IF(S45=0,0,IF(S45&gt;0,1,-1)*(T45/S45-1)))/3,2)</f>
        <v>0.5</v>
      </c>
      <c r="E45" s="169">
        <f t="shared" ref="E45:P45" si="62">E33/(1+$C45)*$C45</f>
        <v>0</v>
      </c>
      <c r="F45" s="170">
        <f t="shared" si="62"/>
        <v>0</v>
      </c>
      <c r="G45" s="170">
        <f t="shared" si="62"/>
        <v>0</v>
      </c>
      <c r="H45" s="170">
        <f t="shared" si="62"/>
        <v>0</v>
      </c>
      <c r="I45" s="170">
        <f t="shared" si="62"/>
        <v>0</v>
      </c>
      <c r="J45" s="170">
        <f t="shared" si="62"/>
        <v>0</v>
      </c>
      <c r="K45" s="170">
        <f t="shared" si="62"/>
        <v>0</v>
      </c>
      <c r="L45" s="170">
        <f t="shared" si="62"/>
        <v>0</v>
      </c>
      <c r="M45" s="170">
        <f t="shared" si="62"/>
        <v>0</v>
      </c>
      <c r="N45" s="170">
        <f t="shared" si="62"/>
        <v>0</v>
      </c>
      <c r="O45" s="170">
        <f t="shared" si="62"/>
        <v>0</v>
      </c>
      <c r="P45" s="171">
        <f t="shared" si="62"/>
        <v>0</v>
      </c>
      <c r="Q45" s="168">
        <f>SUM(E45:P45)</f>
        <v>0</v>
      </c>
      <c r="R45" s="177">
        <f t="shared" si="60"/>
        <v>3600</v>
      </c>
      <c r="S45" s="177">
        <f t="shared" si="60"/>
        <v>7200</v>
      </c>
      <c r="T45" s="177">
        <f t="shared" si="60"/>
        <v>10800</v>
      </c>
    </row>
    <row r="46" spans="1:20" ht="15" customHeight="1" x14ac:dyDescent="0.2">
      <c r="A46" s="285" t="str">
        <f t="shared" ref="A46:A51" si="63">A11</f>
        <v>Professional Abo</v>
      </c>
      <c r="B46" s="288"/>
      <c r="C46" s="163">
        <f t="shared" ref="C46:C51" si="64">C11</f>
        <v>0.2</v>
      </c>
      <c r="D46" s="253">
        <f t="shared" si="61"/>
        <v>0.5</v>
      </c>
      <c r="E46" s="169">
        <f t="shared" ref="E46:P46" si="65">E34/(1+$C46)*$C46</f>
        <v>0</v>
      </c>
      <c r="F46" s="170">
        <f t="shared" si="65"/>
        <v>0</v>
      </c>
      <c r="G46" s="170">
        <f t="shared" si="65"/>
        <v>0</v>
      </c>
      <c r="H46" s="170">
        <f t="shared" si="65"/>
        <v>0</v>
      </c>
      <c r="I46" s="170">
        <f t="shared" si="65"/>
        <v>0</v>
      </c>
      <c r="J46" s="170">
        <f t="shared" si="65"/>
        <v>0</v>
      </c>
      <c r="K46" s="170">
        <f t="shared" si="65"/>
        <v>0</v>
      </c>
      <c r="L46" s="170">
        <f t="shared" si="65"/>
        <v>0</v>
      </c>
      <c r="M46" s="170">
        <f t="shared" si="65"/>
        <v>0</v>
      </c>
      <c r="N46" s="170">
        <f t="shared" si="65"/>
        <v>0</v>
      </c>
      <c r="O46" s="170">
        <f t="shared" si="65"/>
        <v>0</v>
      </c>
      <c r="P46" s="171">
        <f t="shared" si="65"/>
        <v>0</v>
      </c>
      <c r="Q46" s="168">
        <f t="shared" ref="Q46:Q51" si="66">SUM(E46:P46)</f>
        <v>0</v>
      </c>
      <c r="R46" s="177">
        <f t="shared" ref="R46:T46" si="67">R34/(1+$C46)*$C46</f>
        <v>4800</v>
      </c>
      <c r="S46" s="177">
        <f t="shared" si="67"/>
        <v>9600</v>
      </c>
      <c r="T46" s="177">
        <f t="shared" si="67"/>
        <v>14400</v>
      </c>
    </row>
    <row r="47" spans="1:20" ht="15" customHeight="1" x14ac:dyDescent="0.2">
      <c r="A47" s="285" t="str">
        <f t="shared" si="63"/>
        <v xml:space="preserve">Enterprise Abo </v>
      </c>
      <c r="B47" s="288"/>
      <c r="C47" s="163">
        <f t="shared" si="64"/>
        <v>0.2</v>
      </c>
      <c r="D47" s="253">
        <f t="shared" si="61"/>
        <v>0.5</v>
      </c>
      <c r="E47" s="169">
        <f t="shared" ref="E47:P47" si="68">E35/(1+$C47)*$C47</f>
        <v>0</v>
      </c>
      <c r="F47" s="170">
        <f t="shared" si="68"/>
        <v>0</v>
      </c>
      <c r="G47" s="170">
        <f t="shared" si="68"/>
        <v>0</v>
      </c>
      <c r="H47" s="170">
        <f t="shared" si="68"/>
        <v>0</v>
      </c>
      <c r="I47" s="170">
        <f t="shared" si="68"/>
        <v>0</v>
      </c>
      <c r="J47" s="170">
        <f t="shared" si="68"/>
        <v>0</v>
      </c>
      <c r="K47" s="170">
        <f t="shared" si="68"/>
        <v>0</v>
      </c>
      <c r="L47" s="170">
        <f t="shared" si="68"/>
        <v>0</v>
      </c>
      <c r="M47" s="170">
        <f t="shared" si="68"/>
        <v>0</v>
      </c>
      <c r="N47" s="170">
        <f t="shared" si="68"/>
        <v>0</v>
      </c>
      <c r="O47" s="170">
        <f t="shared" si="68"/>
        <v>0</v>
      </c>
      <c r="P47" s="171">
        <f t="shared" si="68"/>
        <v>0</v>
      </c>
      <c r="Q47" s="168">
        <f t="shared" si="66"/>
        <v>0</v>
      </c>
      <c r="R47" s="177">
        <f t="shared" ref="R47:T47" si="69">R35/(1+$C47)*$C47</f>
        <v>5760</v>
      </c>
      <c r="S47" s="177">
        <f t="shared" si="69"/>
        <v>11520</v>
      </c>
      <c r="T47" s="177">
        <f t="shared" si="69"/>
        <v>17280</v>
      </c>
    </row>
    <row r="48" spans="1:20" ht="15" customHeight="1" x14ac:dyDescent="0.2">
      <c r="A48" s="285">
        <f t="shared" si="63"/>
        <v>0</v>
      </c>
      <c r="B48" s="288"/>
      <c r="C48" s="163">
        <f t="shared" si="64"/>
        <v>0.2</v>
      </c>
      <c r="D48" s="253">
        <f t="shared" si="61"/>
        <v>0</v>
      </c>
      <c r="E48" s="169">
        <f t="shared" ref="E48:P48" si="70">E36/(1+$C48)*$C48</f>
        <v>0</v>
      </c>
      <c r="F48" s="170">
        <f t="shared" si="70"/>
        <v>0</v>
      </c>
      <c r="G48" s="170">
        <f t="shared" si="70"/>
        <v>0</v>
      </c>
      <c r="H48" s="170">
        <f t="shared" si="70"/>
        <v>0</v>
      </c>
      <c r="I48" s="170">
        <f t="shared" si="70"/>
        <v>0</v>
      </c>
      <c r="J48" s="170">
        <f t="shared" si="70"/>
        <v>0</v>
      </c>
      <c r="K48" s="170">
        <f t="shared" si="70"/>
        <v>0</v>
      </c>
      <c r="L48" s="170">
        <f t="shared" si="70"/>
        <v>0</v>
      </c>
      <c r="M48" s="170">
        <f t="shared" si="70"/>
        <v>0</v>
      </c>
      <c r="N48" s="170">
        <f t="shared" si="70"/>
        <v>0</v>
      </c>
      <c r="O48" s="170">
        <f t="shared" si="70"/>
        <v>0</v>
      </c>
      <c r="P48" s="171">
        <f t="shared" si="70"/>
        <v>0</v>
      </c>
      <c r="Q48" s="168">
        <f t="shared" si="66"/>
        <v>0</v>
      </c>
      <c r="R48" s="177">
        <f t="shared" ref="R48:T48" si="71">R36/(1+$C48)*$C48</f>
        <v>0</v>
      </c>
      <c r="S48" s="177">
        <f t="shared" si="71"/>
        <v>0</v>
      </c>
      <c r="T48" s="177">
        <f t="shared" si="71"/>
        <v>0</v>
      </c>
    </row>
    <row r="49" spans="1:20" ht="15" customHeight="1" x14ac:dyDescent="0.2">
      <c r="A49" s="285">
        <f t="shared" si="63"/>
        <v>0</v>
      </c>
      <c r="B49" s="288"/>
      <c r="C49" s="163">
        <f t="shared" si="64"/>
        <v>0.2</v>
      </c>
      <c r="D49" s="253">
        <f t="shared" si="61"/>
        <v>0</v>
      </c>
      <c r="E49" s="169">
        <f t="shared" ref="E49:P49" si="72">E37/(1+$C49)*$C49</f>
        <v>0</v>
      </c>
      <c r="F49" s="170">
        <f t="shared" si="72"/>
        <v>0</v>
      </c>
      <c r="G49" s="170">
        <f t="shared" si="72"/>
        <v>0</v>
      </c>
      <c r="H49" s="170">
        <f t="shared" si="72"/>
        <v>0</v>
      </c>
      <c r="I49" s="170">
        <f t="shared" si="72"/>
        <v>0</v>
      </c>
      <c r="J49" s="170">
        <f t="shared" si="72"/>
        <v>0</v>
      </c>
      <c r="K49" s="170">
        <f t="shared" si="72"/>
        <v>0</v>
      </c>
      <c r="L49" s="170">
        <f t="shared" si="72"/>
        <v>0</v>
      </c>
      <c r="M49" s="170">
        <f t="shared" si="72"/>
        <v>0</v>
      </c>
      <c r="N49" s="170">
        <f t="shared" si="72"/>
        <v>0</v>
      </c>
      <c r="O49" s="170">
        <f t="shared" si="72"/>
        <v>0</v>
      </c>
      <c r="P49" s="171">
        <f t="shared" si="72"/>
        <v>0</v>
      </c>
      <c r="Q49" s="168">
        <f t="shared" si="66"/>
        <v>0</v>
      </c>
      <c r="R49" s="177">
        <f t="shared" ref="R49:T49" si="73">R37/(1+$C49)*$C49</f>
        <v>0</v>
      </c>
      <c r="S49" s="177">
        <f t="shared" si="73"/>
        <v>0</v>
      </c>
      <c r="T49" s="177">
        <f t="shared" si="73"/>
        <v>0</v>
      </c>
    </row>
    <row r="50" spans="1:20" ht="15" customHeight="1" x14ac:dyDescent="0.2">
      <c r="A50" s="285">
        <f t="shared" si="63"/>
        <v>0</v>
      </c>
      <c r="B50" s="288"/>
      <c r="C50" s="163">
        <f t="shared" si="64"/>
        <v>0.2</v>
      </c>
      <c r="D50" s="253">
        <f t="shared" si="61"/>
        <v>0</v>
      </c>
      <c r="E50" s="169">
        <f t="shared" ref="E50:P50" si="74">E38/(1+$C50)*$C50</f>
        <v>0</v>
      </c>
      <c r="F50" s="170">
        <f t="shared" si="74"/>
        <v>0</v>
      </c>
      <c r="G50" s="170">
        <f t="shared" si="74"/>
        <v>0</v>
      </c>
      <c r="H50" s="170">
        <f t="shared" si="74"/>
        <v>0</v>
      </c>
      <c r="I50" s="170">
        <f t="shared" si="74"/>
        <v>0</v>
      </c>
      <c r="J50" s="170">
        <f t="shared" si="74"/>
        <v>0</v>
      </c>
      <c r="K50" s="170">
        <f t="shared" si="74"/>
        <v>0</v>
      </c>
      <c r="L50" s="170">
        <f t="shared" si="74"/>
        <v>0</v>
      </c>
      <c r="M50" s="170">
        <f t="shared" si="74"/>
        <v>0</v>
      </c>
      <c r="N50" s="170">
        <f t="shared" si="74"/>
        <v>0</v>
      </c>
      <c r="O50" s="170">
        <f t="shared" si="74"/>
        <v>0</v>
      </c>
      <c r="P50" s="171">
        <f t="shared" si="74"/>
        <v>0</v>
      </c>
      <c r="Q50" s="168">
        <f t="shared" si="66"/>
        <v>0</v>
      </c>
      <c r="R50" s="177">
        <f t="shared" ref="R50:T50" si="75">R38/(1+$C50)*$C50</f>
        <v>0</v>
      </c>
      <c r="S50" s="177">
        <f t="shared" si="75"/>
        <v>0</v>
      </c>
      <c r="T50" s="177">
        <f t="shared" si="75"/>
        <v>0</v>
      </c>
    </row>
    <row r="51" spans="1:20" ht="15" customHeight="1" x14ac:dyDescent="0.2">
      <c r="A51" s="285">
        <f t="shared" si="63"/>
        <v>0</v>
      </c>
      <c r="B51" s="288"/>
      <c r="C51" s="163">
        <f t="shared" si="64"/>
        <v>0.2</v>
      </c>
      <c r="D51" s="253">
        <f t="shared" si="61"/>
        <v>0</v>
      </c>
      <c r="E51" s="169">
        <f t="shared" ref="E51:P51" si="76">E39/(1+$C51)*$C51</f>
        <v>0</v>
      </c>
      <c r="F51" s="170">
        <f t="shared" si="76"/>
        <v>0</v>
      </c>
      <c r="G51" s="170">
        <f t="shared" si="76"/>
        <v>0</v>
      </c>
      <c r="H51" s="170">
        <f t="shared" si="76"/>
        <v>0</v>
      </c>
      <c r="I51" s="170">
        <f t="shared" si="76"/>
        <v>0</v>
      </c>
      <c r="J51" s="170">
        <f t="shared" si="76"/>
        <v>0</v>
      </c>
      <c r="K51" s="170">
        <f t="shared" si="76"/>
        <v>0</v>
      </c>
      <c r="L51" s="170">
        <f t="shared" si="76"/>
        <v>0</v>
      </c>
      <c r="M51" s="170">
        <f t="shared" si="76"/>
        <v>0</v>
      </c>
      <c r="N51" s="170">
        <f t="shared" si="76"/>
        <v>0</v>
      </c>
      <c r="O51" s="170">
        <f t="shared" si="76"/>
        <v>0</v>
      </c>
      <c r="P51" s="171">
        <f t="shared" si="76"/>
        <v>0</v>
      </c>
      <c r="Q51" s="168">
        <f t="shared" si="66"/>
        <v>0</v>
      </c>
      <c r="R51" s="177">
        <f t="shared" ref="R51:T51" si="77">R39/(1+$C51)*$C51</f>
        <v>0</v>
      </c>
      <c r="S51" s="177">
        <f t="shared" si="77"/>
        <v>0</v>
      </c>
      <c r="T51" s="177">
        <f t="shared" si="77"/>
        <v>0</v>
      </c>
    </row>
    <row r="52" spans="1:20" ht="15" customHeight="1" x14ac:dyDescent="0.2">
      <c r="A52" s="285">
        <f>A17</f>
        <v>0</v>
      </c>
      <c r="B52" s="288"/>
      <c r="C52" s="163">
        <f>C17</f>
        <v>0.2</v>
      </c>
      <c r="D52" s="253">
        <f t="shared" si="61"/>
        <v>0</v>
      </c>
      <c r="E52" s="169">
        <f t="shared" ref="E52:P52" si="78">E40/(1+$C52)*$C52</f>
        <v>0</v>
      </c>
      <c r="F52" s="170">
        <f t="shared" si="78"/>
        <v>0</v>
      </c>
      <c r="G52" s="170">
        <f t="shared" si="78"/>
        <v>0</v>
      </c>
      <c r="H52" s="170">
        <f t="shared" si="78"/>
        <v>0</v>
      </c>
      <c r="I52" s="170">
        <f t="shared" si="78"/>
        <v>0</v>
      </c>
      <c r="J52" s="170">
        <f t="shared" si="78"/>
        <v>0</v>
      </c>
      <c r="K52" s="170">
        <f t="shared" si="78"/>
        <v>0</v>
      </c>
      <c r="L52" s="170">
        <f t="shared" si="78"/>
        <v>0</v>
      </c>
      <c r="M52" s="170">
        <f t="shared" si="78"/>
        <v>0</v>
      </c>
      <c r="N52" s="170">
        <f t="shared" si="78"/>
        <v>0</v>
      </c>
      <c r="O52" s="170">
        <f t="shared" si="78"/>
        <v>0</v>
      </c>
      <c r="P52" s="171">
        <f t="shared" si="78"/>
        <v>0</v>
      </c>
      <c r="Q52" s="168">
        <f>SUM(E52:P52)</f>
        <v>0</v>
      </c>
      <c r="R52" s="177">
        <f t="shared" ref="R52:T53" si="79">R40/(1+$C52)*$C52</f>
        <v>0</v>
      </c>
      <c r="S52" s="177">
        <f t="shared" si="79"/>
        <v>0</v>
      </c>
      <c r="T52" s="177">
        <f t="shared" si="79"/>
        <v>0</v>
      </c>
    </row>
    <row r="53" spans="1:20" ht="15" customHeight="1" x14ac:dyDescent="0.2">
      <c r="A53" s="285">
        <f>A18</f>
        <v>0</v>
      </c>
      <c r="B53" s="288"/>
      <c r="C53" s="163">
        <f>C18</f>
        <v>0.2</v>
      </c>
      <c r="D53" s="253">
        <f t="shared" si="61"/>
        <v>0</v>
      </c>
      <c r="E53" s="169">
        <f t="shared" ref="E53:P53" si="80">E41/(1+$C53)*$C53</f>
        <v>0</v>
      </c>
      <c r="F53" s="170">
        <f t="shared" si="80"/>
        <v>0</v>
      </c>
      <c r="G53" s="170">
        <f t="shared" si="80"/>
        <v>0</v>
      </c>
      <c r="H53" s="170">
        <f t="shared" si="80"/>
        <v>0</v>
      </c>
      <c r="I53" s="170">
        <f t="shared" si="80"/>
        <v>0</v>
      </c>
      <c r="J53" s="170">
        <f t="shared" si="80"/>
        <v>0</v>
      </c>
      <c r="K53" s="170">
        <f t="shared" si="80"/>
        <v>0</v>
      </c>
      <c r="L53" s="170">
        <f t="shared" si="80"/>
        <v>0</v>
      </c>
      <c r="M53" s="170">
        <f t="shared" si="80"/>
        <v>0</v>
      </c>
      <c r="N53" s="170">
        <f t="shared" si="80"/>
        <v>0</v>
      </c>
      <c r="O53" s="170">
        <f t="shared" si="80"/>
        <v>0</v>
      </c>
      <c r="P53" s="171">
        <f t="shared" si="80"/>
        <v>0</v>
      </c>
      <c r="Q53" s="168">
        <f>SUM(E53:P53)</f>
        <v>0</v>
      </c>
      <c r="R53" s="177">
        <f t="shared" si="79"/>
        <v>0</v>
      </c>
      <c r="S53" s="177">
        <f t="shared" si="79"/>
        <v>0</v>
      </c>
      <c r="T53" s="177">
        <f t="shared" si="79"/>
        <v>0</v>
      </c>
    </row>
    <row r="54" spans="1:20" ht="15" customHeight="1" x14ac:dyDescent="0.2">
      <c r="A54" s="289" t="str">
        <f>CONCATENATE("Summe ",A43)</f>
        <v>Summe Umsatzsteuer</v>
      </c>
      <c r="B54" s="286"/>
      <c r="C54" s="180">
        <f>IF(SUM(Q54:T54)=0,0,SUM(Q54:T54)/(SUM(Q42:T42)-SUM(Q54:T54)))</f>
        <v>0.2</v>
      </c>
      <c r="D54" s="254">
        <f t="shared" si="61"/>
        <v>0.5</v>
      </c>
      <c r="E54" s="165">
        <f>SUM(E44:E53)</f>
        <v>0</v>
      </c>
      <c r="F54" s="166">
        <f t="shared" ref="F54:P54" si="81">SUM(F44:F53)</f>
        <v>0</v>
      </c>
      <c r="G54" s="166">
        <f t="shared" si="81"/>
        <v>0</v>
      </c>
      <c r="H54" s="166">
        <f t="shared" si="81"/>
        <v>0</v>
      </c>
      <c r="I54" s="166">
        <f t="shared" si="81"/>
        <v>0</v>
      </c>
      <c r="J54" s="166">
        <f t="shared" si="81"/>
        <v>0</v>
      </c>
      <c r="K54" s="166">
        <f t="shared" si="81"/>
        <v>0</v>
      </c>
      <c r="L54" s="166">
        <f t="shared" si="81"/>
        <v>0</v>
      </c>
      <c r="M54" s="166">
        <f t="shared" si="81"/>
        <v>0</v>
      </c>
      <c r="N54" s="166">
        <f t="shared" si="81"/>
        <v>0</v>
      </c>
      <c r="O54" s="166">
        <f t="shared" si="81"/>
        <v>0</v>
      </c>
      <c r="P54" s="167">
        <f t="shared" si="81"/>
        <v>0</v>
      </c>
      <c r="Q54" s="168">
        <f>SUM(E54:P54)</f>
        <v>0</v>
      </c>
      <c r="R54" s="177">
        <f>SUM(R44:R53)</f>
        <v>14160</v>
      </c>
      <c r="S54" s="177">
        <f>SUM(S44:S53)</f>
        <v>28320</v>
      </c>
      <c r="T54" s="177">
        <f>SUM(T44:T53)</f>
        <v>42480</v>
      </c>
    </row>
    <row r="55" spans="1:20" ht="15" customHeight="1" x14ac:dyDescent="0.2">
      <c r="A55" s="289" t="str">
        <f>'Plan-G&amp;V'!A10</f>
        <v>Umsatzerlöse netto</v>
      </c>
      <c r="B55" s="286"/>
      <c r="C55" s="286"/>
      <c r="D55" s="240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251" t="str">
        <f>"+/-"</f>
        <v>+/-</v>
      </c>
      <c r="R55" s="246">
        <f>IF(Q66=0,0,R66/(Q66/COUNTIF(E66:P66,"&lt;&gt;0")*12)-1)</f>
        <v>0</v>
      </c>
      <c r="S55" s="246">
        <f>IF(R66=0,0,S66/R66-1)</f>
        <v>1</v>
      </c>
      <c r="T55" s="246">
        <f>IF(S66=0,0,T66/S66-1)</f>
        <v>0.5</v>
      </c>
    </row>
    <row r="56" spans="1:20" ht="15" customHeight="1" x14ac:dyDescent="0.2">
      <c r="A56" s="285" t="str">
        <f>A9</f>
        <v>Pilotprojekt</v>
      </c>
      <c r="B56" s="286"/>
      <c r="C56" s="287"/>
      <c r="D56" s="250">
        <f t="shared" ref="D56:D66" si="82">(IF(Q56=0,0,IF(Q56&gt;0,1,-1)*(R56/(Q56/(COUNTIF(E56:P56,"&gt;0")+COUNTIF(E56:P56,"&lt;0"))*12)-1))+IF(R56=0,0,IF(R56&gt;0,1,-1)*(S56/R56-1))+IF(S56=0,0,IF(S56&gt;0,1,-1)*(T56/S56-1)))/3</f>
        <v>0</v>
      </c>
      <c r="E56" s="169">
        <f>IF(AND(Basisdaten!$C$12="JA",$Q$42&lt;=55000),E32,E32-E44)</f>
        <v>0</v>
      </c>
      <c r="F56" s="170">
        <f>IF(AND(Basisdaten!$C$12="JA",$Q$42&lt;=55000),F32,F32-F44)</f>
        <v>0</v>
      </c>
      <c r="G56" s="170">
        <f>IF(AND(Basisdaten!$C$12="JA",$Q$42&lt;=55000),G32,G32-G44)</f>
        <v>0</v>
      </c>
      <c r="H56" s="170">
        <f>IF(AND(Basisdaten!$C$12="JA",$Q$42&lt;=55000),H32,H32-H44)</f>
        <v>0</v>
      </c>
      <c r="I56" s="170">
        <f>IF(AND(Basisdaten!$C$12="JA",$Q$42&lt;=55000),I32,I32-I44)</f>
        <v>0</v>
      </c>
      <c r="J56" s="170">
        <f>IF(AND(Basisdaten!$C$12="JA",$Q$42&lt;=55000),J32,J32-J44)</f>
        <v>0</v>
      </c>
      <c r="K56" s="170">
        <f>IF(AND(Basisdaten!$C$12="JA",$Q$42&lt;=55000),K32,K32-K44)</f>
        <v>0</v>
      </c>
      <c r="L56" s="170">
        <f>IF(AND(Basisdaten!$C$12="JA",$Q$42&lt;=55000),L32,L32-L44)</f>
        <v>0</v>
      </c>
      <c r="M56" s="170">
        <f>IF(AND(Basisdaten!$C$12="JA",$Q$42&lt;=55000),M32,M32-M44)</f>
        <v>0</v>
      </c>
      <c r="N56" s="170">
        <f>IF(AND(Basisdaten!$C$12="JA",$Q$42&lt;=55000),N32,N32-N44)</f>
        <v>0</v>
      </c>
      <c r="O56" s="170">
        <f>IF(AND(Basisdaten!$C$12="JA",$Q$42&lt;=55000),O32,O32-O44)</f>
        <v>0</v>
      </c>
      <c r="P56" s="171">
        <f>IF(AND(Basisdaten!$C$12="JA",$Q$42&lt;=55000),P32,P32-P44)</f>
        <v>0</v>
      </c>
      <c r="Q56" s="177">
        <f>SUM(E56:P56)</f>
        <v>0</v>
      </c>
      <c r="R56" s="177">
        <f>IF(AND(Basisdaten!$C$12="JA",R$42&lt;=55000,Q$42=Q$66),R32,R32-R44)</f>
        <v>0</v>
      </c>
      <c r="S56" s="177">
        <f>IF(AND(Basisdaten!$C$12="JA",S$42&lt;=55000,R$42=R$66),S32,S32-S44)</f>
        <v>0</v>
      </c>
      <c r="T56" s="177">
        <f>IF(AND(Basisdaten!$C$12="JA",T$42&lt;=55000,S$42=S$66),T32,T32-T44)</f>
        <v>0</v>
      </c>
    </row>
    <row r="57" spans="1:20" ht="15" customHeight="1" x14ac:dyDescent="0.2">
      <c r="A57" s="285" t="str">
        <f>A10</f>
        <v>Starter Abo</v>
      </c>
      <c r="B57" s="286"/>
      <c r="C57" s="287"/>
      <c r="D57" s="250">
        <f t="shared" si="82"/>
        <v>0.5</v>
      </c>
      <c r="E57" s="169">
        <f>IF(AND(Basisdaten!$C$12="JA",$Q$42&lt;=55000),E33,E33-E45)</f>
        <v>0</v>
      </c>
      <c r="F57" s="170">
        <f>IF(AND(Basisdaten!$C$12="JA",$Q$42&lt;=55000),F33,F33-F45)</f>
        <v>0</v>
      </c>
      <c r="G57" s="170">
        <f>IF(AND(Basisdaten!$C$12="JA",$Q$42&lt;=55000),G33,G33-G45)</f>
        <v>0</v>
      </c>
      <c r="H57" s="170">
        <f>IF(AND(Basisdaten!$C$12="JA",$Q$42&lt;=55000),H33,H33-H45)</f>
        <v>0</v>
      </c>
      <c r="I57" s="170">
        <f>IF(AND(Basisdaten!$C$12="JA",$Q$42&lt;=55000),I33,I33-I45)</f>
        <v>0</v>
      </c>
      <c r="J57" s="170">
        <f>IF(AND(Basisdaten!$C$12="JA",$Q$42&lt;=55000),J33,J33-J45)</f>
        <v>0</v>
      </c>
      <c r="K57" s="170">
        <f>IF(AND(Basisdaten!$C$12="JA",$Q$42&lt;=55000),K33,K33-K45)</f>
        <v>0</v>
      </c>
      <c r="L57" s="170">
        <f>IF(AND(Basisdaten!$C$12="JA",$Q$42&lt;=55000),L33,L33-L45)</f>
        <v>0</v>
      </c>
      <c r="M57" s="170">
        <f>IF(AND(Basisdaten!$C$12="JA",$Q$42&lt;=55000),M33,M33-M45)</f>
        <v>0</v>
      </c>
      <c r="N57" s="170">
        <f>IF(AND(Basisdaten!$C$12="JA",$Q$42&lt;=55000),N33,N33-N45)</f>
        <v>0</v>
      </c>
      <c r="O57" s="170">
        <f>IF(AND(Basisdaten!$C$12="JA",$Q$42&lt;=55000),O33,O33-O45)</f>
        <v>0</v>
      </c>
      <c r="P57" s="171">
        <f>IF(AND(Basisdaten!$C$12="JA",$Q$42&lt;=55000),P33,P33-P45)</f>
        <v>0</v>
      </c>
      <c r="Q57" s="177">
        <f>SUM(E57:P57)</f>
        <v>0</v>
      </c>
      <c r="R57" s="177">
        <f>IF(AND(Basisdaten!$C$12="JA",R$42&lt;=55000,Q$42=Q$66),R33,R33-R45)</f>
        <v>18000</v>
      </c>
      <c r="S57" s="177">
        <f>IF(AND(Basisdaten!$C$12="JA",S$42&lt;=55000,R$42=R$66),S33,S33-S45)</f>
        <v>36000</v>
      </c>
      <c r="T57" s="177">
        <f>IF(AND(Basisdaten!$C$12="JA",T$42&lt;=55000,S$42=S$66),T33,T33-T45)</f>
        <v>54000</v>
      </c>
    </row>
    <row r="58" spans="1:20" ht="15" customHeight="1" x14ac:dyDescent="0.2">
      <c r="A58" s="285" t="str">
        <f t="shared" ref="A58:A63" si="83">A11</f>
        <v>Professional Abo</v>
      </c>
      <c r="B58" s="286"/>
      <c r="C58" s="287"/>
      <c r="D58" s="250">
        <f t="shared" si="82"/>
        <v>0.5</v>
      </c>
      <c r="E58" s="169">
        <f>IF(AND(Basisdaten!$C$12="JA",$Q$42&lt;=55000),E34,E34-E46)</f>
        <v>0</v>
      </c>
      <c r="F58" s="170">
        <f>IF(AND(Basisdaten!$C$12="JA",$Q$42&lt;=55000),F34,F34-F46)</f>
        <v>0</v>
      </c>
      <c r="G58" s="170">
        <f>IF(AND(Basisdaten!$C$12="JA",$Q$42&lt;=55000),G34,G34-G46)</f>
        <v>0</v>
      </c>
      <c r="H58" s="170">
        <f>IF(AND(Basisdaten!$C$12="JA",$Q$42&lt;=55000),H34,H34-H46)</f>
        <v>0</v>
      </c>
      <c r="I58" s="170">
        <f>IF(AND(Basisdaten!$C$12="JA",$Q$42&lt;=55000),I34,I34-I46)</f>
        <v>0</v>
      </c>
      <c r="J58" s="170">
        <f>IF(AND(Basisdaten!$C$12="JA",$Q$42&lt;=55000),J34,J34-J46)</f>
        <v>0</v>
      </c>
      <c r="K58" s="170">
        <f>IF(AND(Basisdaten!$C$12="JA",$Q$42&lt;=55000),K34,K34-K46)</f>
        <v>0</v>
      </c>
      <c r="L58" s="170">
        <f>IF(AND(Basisdaten!$C$12="JA",$Q$42&lt;=55000),L34,L34-L46)</f>
        <v>0</v>
      </c>
      <c r="M58" s="170">
        <f>IF(AND(Basisdaten!$C$12="JA",$Q$42&lt;=55000),M34,M34-M46)</f>
        <v>0</v>
      </c>
      <c r="N58" s="170">
        <f>IF(AND(Basisdaten!$C$12="JA",$Q$42&lt;=55000),N34,N34-N46)</f>
        <v>0</v>
      </c>
      <c r="O58" s="170">
        <f>IF(AND(Basisdaten!$C$12="JA",$Q$42&lt;=55000),O34,O34-O46)</f>
        <v>0</v>
      </c>
      <c r="P58" s="171">
        <f>IF(AND(Basisdaten!$C$12="JA",$Q$42&lt;=55000),P34,P34-P46)</f>
        <v>0</v>
      </c>
      <c r="Q58" s="177">
        <f t="shared" ref="Q58:Q63" si="84">SUM(E58:P58)</f>
        <v>0</v>
      </c>
      <c r="R58" s="177">
        <f>IF(AND(Basisdaten!$C$12="JA",R$42&lt;=55000,Q$42=Q$66),R34,R34-R46)</f>
        <v>24000</v>
      </c>
      <c r="S58" s="177">
        <f>IF(AND(Basisdaten!$C$12="JA",S$42&lt;=55000,R$42=R$66),S34,S34-S46)</f>
        <v>48000</v>
      </c>
      <c r="T58" s="177">
        <f>IF(AND(Basisdaten!$C$12="JA",T$42&lt;=55000,S$42=S$66),T34,T34-T46)</f>
        <v>72000</v>
      </c>
    </row>
    <row r="59" spans="1:20" ht="15" customHeight="1" x14ac:dyDescent="0.2">
      <c r="A59" s="285" t="str">
        <f t="shared" si="83"/>
        <v xml:space="preserve">Enterprise Abo </v>
      </c>
      <c r="B59" s="286"/>
      <c r="C59" s="287"/>
      <c r="D59" s="250">
        <f t="shared" si="82"/>
        <v>0.5</v>
      </c>
      <c r="E59" s="169">
        <f>IF(AND(Basisdaten!$C$12="JA",$Q$42&lt;=55000),E35,E35-E47)</f>
        <v>0</v>
      </c>
      <c r="F59" s="170">
        <f>IF(AND(Basisdaten!$C$12="JA",$Q$42&lt;=55000),F35,F35-F47)</f>
        <v>0</v>
      </c>
      <c r="G59" s="170">
        <f>IF(AND(Basisdaten!$C$12="JA",$Q$42&lt;=55000),G35,G35-G47)</f>
        <v>0</v>
      </c>
      <c r="H59" s="170">
        <f>IF(AND(Basisdaten!$C$12="JA",$Q$42&lt;=55000),H35,H35-H47)</f>
        <v>0</v>
      </c>
      <c r="I59" s="170">
        <f>IF(AND(Basisdaten!$C$12="JA",$Q$42&lt;=55000),I35,I35-I47)</f>
        <v>0</v>
      </c>
      <c r="J59" s="170">
        <f>IF(AND(Basisdaten!$C$12="JA",$Q$42&lt;=55000),J35,J35-J47)</f>
        <v>0</v>
      </c>
      <c r="K59" s="170">
        <f>IF(AND(Basisdaten!$C$12="JA",$Q$42&lt;=55000),K35,K35-K47)</f>
        <v>0</v>
      </c>
      <c r="L59" s="170">
        <f>IF(AND(Basisdaten!$C$12="JA",$Q$42&lt;=55000),L35,L35-L47)</f>
        <v>0</v>
      </c>
      <c r="M59" s="170">
        <f>IF(AND(Basisdaten!$C$12="JA",$Q$42&lt;=55000),M35,M35-M47)</f>
        <v>0</v>
      </c>
      <c r="N59" s="170">
        <f>IF(AND(Basisdaten!$C$12="JA",$Q$42&lt;=55000),N35,N35-N47)</f>
        <v>0</v>
      </c>
      <c r="O59" s="170">
        <f>IF(AND(Basisdaten!$C$12="JA",$Q$42&lt;=55000),O35,O35-O47)</f>
        <v>0</v>
      </c>
      <c r="P59" s="171">
        <f>IF(AND(Basisdaten!$C$12="JA",$Q$42&lt;=55000),P35,P35-P47)</f>
        <v>0</v>
      </c>
      <c r="Q59" s="177">
        <f t="shared" si="84"/>
        <v>0</v>
      </c>
      <c r="R59" s="177">
        <f>IF(AND(Basisdaten!$C$12="JA",R$42&lt;=55000,Q$42=Q$66),R35,R35-R47)</f>
        <v>28800</v>
      </c>
      <c r="S59" s="177">
        <f>IF(AND(Basisdaten!$C$12="JA",S$42&lt;=55000,R$42=R$66),S35,S35-S47)</f>
        <v>57600</v>
      </c>
      <c r="T59" s="177">
        <f>IF(AND(Basisdaten!$C$12="JA",T$42&lt;=55000,S$42=S$66),T35,T35-T47)</f>
        <v>86400</v>
      </c>
    </row>
    <row r="60" spans="1:20" ht="15" customHeight="1" x14ac:dyDescent="0.2">
      <c r="A60" s="285">
        <f t="shared" si="83"/>
        <v>0</v>
      </c>
      <c r="B60" s="286"/>
      <c r="C60" s="287"/>
      <c r="D60" s="250">
        <f t="shared" si="82"/>
        <v>0</v>
      </c>
      <c r="E60" s="169">
        <f>IF(AND(Basisdaten!$C$12="JA",$Q$42&lt;=55000),E36,E36-E48)</f>
        <v>0</v>
      </c>
      <c r="F60" s="170">
        <f>IF(AND(Basisdaten!$C$12="JA",$Q$42&lt;=55000),F36,F36-F48)</f>
        <v>0</v>
      </c>
      <c r="G60" s="170">
        <f>IF(AND(Basisdaten!$C$12="JA",$Q$42&lt;=55000),G36,G36-G48)</f>
        <v>0</v>
      </c>
      <c r="H60" s="170">
        <f>IF(AND(Basisdaten!$C$12="JA",$Q$42&lt;=55000),H36,H36-H48)</f>
        <v>0</v>
      </c>
      <c r="I60" s="170">
        <f>IF(AND(Basisdaten!$C$12="JA",$Q$42&lt;=55000),I36,I36-I48)</f>
        <v>0</v>
      </c>
      <c r="J60" s="170">
        <f>IF(AND(Basisdaten!$C$12="JA",$Q$42&lt;=55000),J36,J36-J48)</f>
        <v>0</v>
      </c>
      <c r="K60" s="170">
        <f>IF(AND(Basisdaten!$C$12="JA",$Q$42&lt;=55000),K36,K36-K48)</f>
        <v>0</v>
      </c>
      <c r="L60" s="170">
        <f>IF(AND(Basisdaten!$C$12="JA",$Q$42&lt;=55000),L36,L36-L48)</f>
        <v>0</v>
      </c>
      <c r="M60" s="170">
        <f>IF(AND(Basisdaten!$C$12="JA",$Q$42&lt;=55000),M36,M36-M48)</f>
        <v>0</v>
      </c>
      <c r="N60" s="170">
        <f>IF(AND(Basisdaten!$C$12="JA",$Q$42&lt;=55000),N36,N36-N48)</f>
        <v>0</v>
      </c>
      <c r="O60" s="170">
        <f>IF(AND(Basisdaten!$C$12="JA",$Q$42&lt;=55000),O36,O36-O48)</f>
        <v>0</v>
      </c>
      <c r="P60" s="171">
        <f>IF(AND(Basisdaten!$C$12="JA",$Q$42&lt;=55000),P36,P36-P48)</f>
        <v>0</v>
      </c>
      <c r="Q60" s="177">
        <f t="shared" si="84"/>
        <v>0</v>
      </c>
      <c r="R60" s="177">
        <f>IF(AND(Basisdaten!$C$12="JA",R$42&lt;=55000,Q$42=Q$66),R36,R36-R48)</f>
        <v>0</v>
      </c>
      <c r="S60" s="177">
        <f>IF(AND(Basisdaten!$C$12="JA",S$42&lt;=55000,R$42=R$66),S36,S36-S48)</f>
        <v>0</v>
      </c>
      <c r="T60" s="177">
        <f>IF(AND(Basisdaten!$C$12="JA",T$42&lt;=55000,S$42=S$66),T36,T36-T48)</f>
        <v>0</v>
      </c>
    </row>
    <row r="61" spans="1:20" ht="15" customHeight="1" x14ac:dyDescent="0.2">
      <c r="A61" s="285">
        <f t="shared" si="83"/>
        <v>0</v>
      </c>
      <c r="B61" s="286"/>
      <c r="C61" s="287"/>
      <c r="D61" s="250">
        <f t="shared" si="82"/>
        <v>0</v>
      </c>
      <c r="E61" s="169">
        <f>IF(AND(Basisdaten!$C$12="JA",$Q$42&lt;=55000),E37,E37-E49)</f>
        <v>0</v>
      </c>
      <c r="F61" s="170">
        <f>IF(AND(Basisdaten!$C$12="JA",$Q$42&lt;=55000),F37,F37-F49)</f>
        <v>0</v>
      </c>
      <c r="G61" s="170">
        <f>IF(AND(Basisdaten!$C$12="JA",$Q$42&lt;=55000),G37,G37-G49)</f>
        <v>0</v>
      </c>
      <c r="H61" s="170">
        <f>IF(AND(Basisdaten!$C$12="JA",$Q$42&lt;=55000),H37,H37-H49)</f>
        <v>0</v>
      </c>
      <c r="I61" s="170">
        <f>IF(AND(Basisdaten!$C$12="JA",$Q$42&lt;=55000),I37,I37-I49)</f>
        <v>0</v>
      </c>
      <c r="J61" s="170">
        <f>IF(AND(Basisdaten!$C$12="JA",$Q$42&lt;=55000),J37,J37-J49)</f>
        <v>0</v>
      </c>
      <c r="K61" s="170">
        <f>IF(AND(Basisdaten!$C$12="JA",$Q$42&lt;=55000),K37,K37-K49)</f>
        <v>0</v>
      </c>
      <c r="L61" s="170">
        <f>IF(AND(Basisdaten!$C$12="JA",$Q$42&lt;=55000),L37,L37-L49)</f>
        <v>0</v>
      </c>
      <c r="M61" s="170">
        <f>IF(AND(Basisdaten!$C$12="JA",$Q$42&lt;=55000),M37,M37-M49)</f>
        <v>0</v>
      </c>
      <c r="N61" s="170">
        <f>IF(AND(Basisdaten!$C$12="JA",$Q$42&lt;=55000),N37,N37-N49)</f>
        <v>0</v>
      </c>
      <c r="O61" s="170">
        <f>IF(AND(Basisdaten!$C$12="JA",$Q$42&lt;=55000),O37,O37-O49)</f>
        <v>0</v>
      </c>
      <c r="P61" s="171">
        <f>IF(AND(Basisdaten!$C$12="JA",$Q$42&lt;=55000),P37,P37-P49)</f>
        <v>0</v>
      </c>
      <c r="Q61" s="177">
        <f t="shared" si="84"/>
        <v>0</v>
      </c>
      <c r="R61" s="177">
        <f>IF(AND(Basisdaten!$C$12="JA",R$42&lt;=55000,Q$42=Q$66),R37,R37-R49)</f>
        <v>0</v>
      </c>
      <c r="S61" s="177">
        <f>IF(AND(Basisdaten!$C$12="JA",S$42&lt;=55000,R$42=R$66),S37,S37-S49)</f>
        <v>0</v>
      </c>
      <c r="T61" s="177">
        <f>IF(AND(Basisdaten!$C$12="JA",T$42&lt;=55000,S$42=S$66),T37,T37-T49)</f>
        <v>0</v>
      </c>
    </row>
    <row r="62" spans="1:20" ht="15" customHeight="1" x14ac:dyDescent="0.2">
      <c r="A62" s="285">
        <f t="shared" si="83"/>
        <v>0</v>
      </c>
      <c r="B62" s="286"/>
      <c r="C62" s="287"/>
      <c r="D62" s="250">
        <f t="shared" si="82"/>
        <v>0</v>
      </c>
      <c r="E62" s="169">
        <f>IF(AND(Basisdaten!$C$12="JA",$Q$42&lt;=55000),E38,E38-E50)</f>
        <v>0</v>
      </c>
      <c r="F62" s="170">
        <f>IF(AND(Basisdaten!$C$12="JA",$Q$42&lt;=55000),F38,F38-F50)</f>
        <v>0</v>
      </c>
      <c r="G62" s="170">
        <f>IF(AND(Basisdaten!$C$12="JA",$Q$42&lt;=55000),G38,G38-G50)</f>
        <v>0</v>
      </c>
      <c r="H62" s="170">
        <f>IF(AND(Basisdaten!$C$12="JA",$Q$42&lt;=55000),H38,H38-H50)</f>
        <v>0</v>
      </c>
      <c r="I62" s="170">
        <f>IF(AND(Basisdaten!$C$12="JA",$Q$42&lt;=55000),I38,I38-I50)</f>
        <v>0</v>
      </c>
      <c r="J62" s="170">
        <f>IF(AND(Basisdaten!$C$12="JA",$Q$42&lt;=55000),J38,J38-J50)</f>
        <v>0</v>
      </c>
      <c r="K62" s="170">
        <f>IF(AND(Basisdaten!$C$12="JA",$Q$42&lt;=55000),K38,K38-K50)</f>
        <v>0</v>
      </c>
      <c r="L62" s="170">
        <f>IF(AND(Basisdaten!$C$12="JA",$Q$42&lt;=55000),L38,L38-L50)</f>
        <v>0</v>
      </c>
      <c r="M62" s="170">
        <f>IF(AND(Basisdaten!$C$12="JA",$Q$42&lt;=55000),M38,M38-M50)</f>
        <v>0</v>
      </c>
      <c r="N62" s="170">
        <f>IF(AND(Basisdaten!$C$12="JA",$Q$42&lt;=55000),N38,N38-N50)</f>
        <v>0</v>
      </c>
      <c r="O62" s="170">
        <f>IF(AND(Basisdaten!$C$12="JA",$Q$42&lt;=55000),O38,O38-O50)</f>
        <v>0</v>
      </c>
      <c r="P62" s="171">
        <f>IF(AND(Basisdaten!$C$12="JA",$Q$42&lt;=55000),P38,P38-P50)</f>
        <v>0</v>
      </c>
      <c r="Q62" s="177">
        <f t="shared" si="84"/>
        <v>0</v>
      </c>
      <c r="R62" s="177">
        <f>IF(AND(Basisdaten!$C$12="JA",R$42&lt;=55000,Q$42=Q$66),R38,R38-R50)</f>
        <v>0</v>
      </c>
      <c r="S62" s="177">
        <f>IF(AND(Basisdaten!$C$12="JA",S$42&lt;=55000,R$42=R$66),S38,S38-S50)</f>
        <v>0</v>
      </c>
      <c r="T62" s="177">
        <f>IF(AND(Basisdaten!$C$12="JA",T$42&lt;=55000,S$42=S$66),T38,T38-T50)</f>
        <v>0</v>
      </c>
    </row>
    <row r="63" spans="1:20" ht="15" customHeight="1" x14ac:dyDescent="0.2">
      <c r="A63" s="285">
        <f t="shared" si="83"/>
        <v>0</v>
      </c>
      <c r="B63" s="286"/>
      <c r="C63" s="287"/>
      <c r="D63" s="250">
        <f t="shared" si="82"/>
        <v>0</v>
      </c>
      <c r="E63" s="169">
        <f>IF(AND(Basisdaten!$C$12="JA",$Q$42&lt;=55000),E39,E39-E51)</f>
        <v>0</v>
      </c>
      <c r="F63" s="170">
        <f>IF(AND(Basisdaten!$C$12="JA",$Q$42&lt;=55000),F39,F39-F51)</f>
        <v>0</v>
      </c>
      <c r="G63" s="170">
        <f>IF(AND(Basisdaten!$C$12="JA",$Q$42&lt;=55000),G39,G39-G51)</f>
        <v>0</v>
      </c>
      <c r="H63" s="170">
        <f>IF(AND(Basisdaten!$C$12="JA",$Q$42&lt;=55000),H39,H39-H51)</f>
        <v>0</v>
      </c>
      <c r="I63" s="170">
        <f>IF(AND(Basisdaten!$C$12="JA",$Q$42&lt;=55000),I39,I39-I51)</f>
        <v>0</v>
      </c>
      <c r="J63" s="170">
        <f>IF(AND(Basisdaten!$C$12="JA",$Q$42&lt;=55000),J39,J39-J51)</f>
        <v>0</v>
      </c>
      <c r="K63" s="170">
        <f>IF(AND(Basisdaten!$C$12="JA",$Q$42&lt;=55000),K39,K39-K51)</f>
        <v>0</v>
      </c>
      <c r="L63" s="170">
        <f>IF(AND(Basisdaten!$C$12="JA",$Q$42&lt;=55000),L39,L39-L51)</f>
        <v>0</v>
      </c>
      <c r="M63" s="170">
        <f>IF(AND(Basisdaten!$C$12="JA",$Q$42&lt;=55000),M39,M39-M51)</f>
        <v>0</v>
      </c>
      <c r="N63" s="170">
        <f>IF(AND(Basisdaten!$C$12="JA",$Q$42&lt;=55000),N39,N39-N51)</f>
        <v>0</v>
      </c>
      <c r="O63" s="170">
        <f>IF(AND(Basisdaten!$C$12="JA",$Q$42&lt;=55000),O39,O39-O51)</f>
        <v>0</v>
      </c>
      <c r="P63" s="171">
        <f>IF(AND(Basisdaten!$C$12="JA",$Q$42&lt;=55000),P39,P39-P51)</f>
        <v>0</v>
      </c>
      <c r="Q63" s="177">
        <f t="shared" si="84"/>
        <v>0</v>
      </c>
      <c r="R63" s="177">
        <f>IF(AND(Basisdaten!$C$12="JA",R$42&lt;=55000,Q$42=Q$66),R39,R39-R51)</f>
        <v>0</v>
      </c>
      <c r="S63" s="177">
        <f>IF(AND(Basisdaten!$C$12="JA",S$42&lt;=55000,R$42=R$66),S39,S39-S51)</f>
        <v>0</v>
      </c>
      <c r="T63" s="177">
        <f>IF(AND(Basisdaten!$C$12="JA",T$42&lt;=55000,S$42=S$66),T39,T39-T51)</f>
        <v>0</v>
      </c>
    </row>
    <row r="64" spans="1:20" ht="15" customHeight="1" x14ac:dyDescent="0.2">
      <c r="A64" s="285">
        <f>A17</f>
        <v>0</v>
      </c>
      <c r="B64" s="286"/>
      <c r="C64" s="287"/>
      <c r="D64" s="250">
        <f t="shared" si="82"/>
        <v>0</v>
      </c>
      <c r="E64" s="169">
        <f>IF(AND(Basisdaten!$C$12="JA",$Q$42&lt;=55000),E40,E40-E52)</f>
        <v>0</v>
      </c>
      <c r="F64" s="170">
        <f>IF(AND(Basisdaten!$C$12="JA",$Q$42&lt;=55000),F40,F40-F52)</f>
        <v>0</v>
      </c>
      <c r="G64" s="170">
        <f>IF(AND(Basisdaten!$C$12="JA",$Q$42&lt;=55000),G40,G40-G52)</f>
        <v>0</v>
      </c>
      <c r="H64" s="170">
        <f>IF(AND(Basisdaten!$C$12="JA",$Q$42&lt;=55000),H40,H40-H52)</f>
        <v>0</v>
      </c>
      <c r="I64" s="170">
        <f>IF(AND(Basisdaten!$C$12="JA",$Q$42&lt;=55000),I40,I40-I52)</f>
        <v>0</v>
      </c>
      <c r="J64" s="170">
        <f>IF(AND(Basisdaten!$C$12="JA",$Q$42&lt;=55000),J40,J40-J52)</f>
        <v>0</v>
      </c>
      <c r="K64" s="170">
        <f>IF(AND(Basisdaten!$C$12="JA",$Q$42&lt;=55000),K40,K40-K52)</f>
        <v>0</v>
      </c>
      <c r="L64" s="170">
        <f>IF(AND(Basisdaten!$C$12="JA",$Q$42&lt;=55000),L40,L40-L52)</f>
        <v>0</v>
      </c>
      <c r="M64" s="170">
        <f>IF(AND(Basisdaten!$C$12="JA",$Q$42&lt;=55000),M40,M40-M52)</f>
        <v>0</v>
      </c>
      <c r="N64" s="170">
        <f>IF(AND(Basisdaten!$C$12="JA",$Q$42&lt;=55000),N40,N40-N52)</f>
        <v>0</v>
      </c>
      <c r="O64" s="170">
        <f>IF(AND(Basisdaten!$C$12="JA",$Q$42&lt;=55000),O40,O40-O52)</f>
        <v>0</v>
      </c>
      <c r="P64" s="171">
        <f>IF(AND(Basisdaten!$C$12="JA",$Q$42&lt;=55000),P40,P40-P52)</f>
        <v>0</v>
      </c>
      <c r="Q64" s="177">
        <f>SUM(E64:P64)</f>
        <v>0</v>
      </c>
      <c r="R64" s="177">
        <f>IF(AND(Basisdaten!$C$12="JA",R$42&lt;=55000,Q$42=Q$66),R40,R40-R52)</f>
        <v>0</v>
      </c>
      <c r="S64" s="177">
        <f>IF(AND(Basisdaten!$C$12="JA",S$42&lt;=55000,R$42=R$66),S40,S40-S52)</f>
        <v>0</v>
      </c>
      <c r="T64" s="177">
        <f>IF(AND(Basisdaten!$C$12="JA",T$42&lt;=55000,S$42=S$66),T40,T40-T52)</f>
        <v>0</v>
      </c>
    </row>
    <row r="65" spans="1:20" ht="15" customHeight="1" x14ac:dyDescent="0.2">
      <c r="A65" s="285">
        <f>A18</f>
        <v>0</v>
      </c>
      <c r="B65" s="286"/>
      <c r="C65" s="287"/>
      <c r="D65" s="250">
        <f t="shared" si="82"/>
        <v>0</v>
      </c>
      <c r="E65" s="169">
        <f>IF(AND(Basisdaten!$C$12="JA",$Q$42&lt;=55000),E41,E41-E53)</f>
        <v>0</v>
      </c>
      <c r="F65" s="170">
        <f>IF(AND(Basisdaten!$C$12="JA",$Q$42&lt;=55000),F41,F41-F53)</f>
        <v>0</v>
      </c>
      <c r="G65" s="170">
        <f>IF(AND(Basisdaten!$C$12="JA",$Q$42&lt;=55000),G41,G41-G53)</f>
        <v>0</v>
      </c>
      <c r="H65" s="170">
        <f>IF(AND(Basisdaten!$C$12="JA",$Q$42&lt;=55000),H41,H41-H53)</f>
        <v>0</v>
      </c>
      <c r="I65" s="170">
        <f>IF(AND(Basisdaten!$C$12="JA",$Q$42&lt;=55000),I41,I41-I53)</f>
        <v>0</v>
      </c>
      <c r="J65" s="170">
        <f>IF(AND(Basisdaten!$C$12="JA",$Q$42&lt;=55000),J41,J41-J53)</f>
        <v>0</v>
      </c>
      <c r="K65" s="170">
        <f>IF(AND(Basisdaten!$C$12="JA",$Q$42&lt;=55000),K41,K41-K53)</f>
        <v>0</v>
      </c>
      <c r="L65" s="170">
        <f>IF(AND(Basisdaten!$C$12="JA",$Q$42&lt;=55000),L41,L41-L53)</f>
        <v>0</v>
      </c>
      <c r="M65" s="170">
        <f>IF(AND(Basisdaten!$C$12="JA",$Q$42&lt;=55000),M41,M41-M53)</f>
        <v>0</v>
      </c>
      <c r="N65" s="170">
        <f>IF(AND(Basisdaten!$C$12="JA",$Q$42&lt;=55000),N41,N41-N53)</f>
        <v>0</v>
      </c>
      <c r="O65" s="170">
        <f>IF(AND(Basisdaten!$C$12="JA",$Q$42&lt;=55000),O41,O41-O53)</f>
        <v>0</v>
      </c>
      <c r="P65" s="171">
        <f>IF(AND(Basisdaten!$C$12="JA",$Q$42&lt;=55000),P41,P41-P53)</f>
        <v>0</v>
      </c>
      <c r="Q65" s="177">
        <f>SUM(E65:P65)</f>
        <v>0</v>
      </c>
      <c r="R65" s="177">
        <f>IF(AND(Basisdaten!$C$12="JA",R$42&lt;=55000,Q$42=Q$66),R41,R41-R53)</f>
        <v>0</v>
      </c>
      <c r="S65" s="177">
        <f>IF(AND(Basisdaten!$C$12="JA",S$42&lt;=55000,R$42=R$66),S41,S41-S53)</f>
        <v>0</v>
      </c>
      <c r="T65" s="177">
        <f>IF(AND(Basisdaten!$C$12="JA",T$42&lt;=55000,S$42=S$66),T41,T41-T53)</f>
        <v>0</v>
      </c>
    </row>
    <row r="66" spans="1:20" ht="15" customHeight="1" x14ac:dyDescent="0.2">
      <c r="A66" s="289" t="str">
        <f>CONCATENATE("Summe ",A55)</f>
        <v>Summe Umsatzerlöse netto</v>
      </c>
      <c r="B66" s="290"/>
      <c r="C66" s="291"/>
      <c r="D66" s="246">
        <f t="shared" si="82"/>
        <v>0.5</v>
      </c>
      <c r="E66" s="165">
        <f>SUM(E56:E65)</f>
        <v>0</v>
      </c>
      <c r="F66" s="166">
        <f t="shared" ref="F66:O66" si="85">SUM(F56:F65)</f>
        <v>0</v>
      </c>
      <c r="G66" s="166">
        <f t="shared" si="85"/>
        <v>0</v>
      </c>
      <c r="H66" s="166">
        <f t="shared" si="85"/>
        <v>0</v>
      </c>
      <c r="I66" s="166">
        <f t="shared" si="85"/>
        <v>0</v>
      </c>
      <c r="J66" s="166">
        <f t="shared" si="85"/>
        <v>0</v>
      </c>
      <c r="K66" s="166">
        <f t="shared" si="85"/>
        <v>0</v>
      </c>
      <c r="L66" s="166">
        <f t="shared" si="85"/>
        <v>0</v>
      </c>
      <c r="M66" s="166">
        <f t="shared" si="85"/>
        <v>0</v>
      </c>
      <c r="N66" s="166">
        <f t="shared" si="85"/>
        <v>0</v>
      </c>
      <c r="O66" s="166">
        <f t="shared" si="85"/>
        <v>0</v>
      </c>
      <c r="P66" s="167">
        <f>SUM(P56:P65)</f>
        <v>0</v>
      </c>
      <c r="Q66" s="177">
        <f>SUM(E66:P66)</f>
        <v>0</v>
      </c>
      <c r="R66" s="177">
        <f>SUM(R56:R65)</f>
        <v>70800</v>
      </c>
      <c r="S66" s="177">
        <f>SUM(S56:S65)</f>
        <v>141600</v>
      </c>
      <c r="T66" s="177">
        <f>SUM(T56:T65)</f>
        <v>212400</v>
      </c>
    </row>
    <row r="67" spans="1:20" ht="15" customHeight="1" x14ac:dyDescent="0.2">
      <c r="A67" s="289" t="s">
        <v>64</v>
      </c>
      <c r="B67" s="286"/>
      <c r="C67" s="286"/>
      <c r="D67" s="240"/>
      <c r="E67" s="181" t="str">
        <f>IF(Basisdaten!$C$12="NEIN","(Nettobeträge)","(Bruttobeträge)")</f>
        <v>(Nettobeträge)</v>
      </c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 t="str">
        <f>IF(OR(Basisdaten!$C$12="NEIN",R42&gt;R66),"(netto)","(brutto)")</f>
        <v>(netto)</v>
      </c>
      <c r="S67" s="176" t="str">
        <f>IF(OR(Basisdaten!$C$12="NEIN",S42&gt;S66),"(netto)","(brutto)")</f>
        <v>(netto)</v>
      </c>
      <c r="T67" s="177" t="str">
        <f>IF(OR(Basisdaten!$C$12="NEIN",T42&gt;T66),"(netto)","(brutto)")</f>
        <v>(netto)</v>
      </c>
    </row>
    <row r="68" spans="1:20" ht="15" customHeight="1" x14ac:dyDescent="0.2">
      <c r="A68" s="182" t="str">
        <f>A9</f>
        <v>Pilotprojekt</v>
      </c>
      <c r="B68" s="162">
        <f>IF(SUM(Q56:T56)=0,0,SUM(Q68:T68)/SUM(Q56:T56))</f>
        <v>0</v>
      </c>
      <c r="C68" s="27">
        <f>C9</f>
        <v>0.2</v>
      </c>
      <c r="D68" s="255">
        <f>0%</f>
        <v>0</v>
      </c>
      <c r="E68" s="3">
        <f ca="1">IF(WES=0,B68*E56,0)</f>
        <v>0</v>
      </c>
      <c r="F68" s="4">
        <f ca="1">IF(WES=0,$B68*F56,IF(E56&gt;0,F56*E68/E56,0))</f>
        <v>0</v>
      </c>
      <c r="G68" s="4">
        <f ca="1">IF(WES=0,$B68*G56,IF(F56&gt;0,G56*F68/F56,0))</f>
        <v>0</v>
      </c>
      <c r="H68" s="4">
        <f ca="1">IF(WES=0,$B68*H56,IF(G56&gt;0,H56*G68/G56,0))</f>
        <v>0</v>
      </c>
      <c r="I68" s="4">
        <f ca="1">IF(WES=0,$B68*I56,IF(H56&gt;0,I56*H68/H56,0))</f>
        <v>0</v>
      </c>
      <c r="J68" s="4">
        <f ca="1">IF(WES=0,$B68*J56,IF(I56&gt;0,J56*I68/I56,0))</f>
        <v>0</v>
      </c>
      <c r="K68" s="4">
        <f ca="1">IF(WES=0,$B68*K56,IF(J56&gt;0,K56*J68/J56,0))</f>
        <v>0</v>
      </c>
      <c r="L68" s="4">
        <f ca="1">IF(WES=0,$B68*L56,IF(K56&gt;0,L56*K68/K56,0))</f>
        <v>0</v>
      </c>
      <c r="M68" s="4">
        <f ca="1">IF(WES=0,$B68*M56,IF(L56&gt;0,M56*L68/L56,0))</f>
        <v>0</v>
      </c>
      <c r="N68" s="4">
        <f ca="1">IF(WES=0,$B68*N56,IF(M56&gt;0,N56*M68/M56,0))</f>
        <v>0</v>
      </c>
      <c r="O68" s="4">
        <f ca="1">IF(WES=0,$B68*O56,IF(N56&gt;0,O56*N68/N56,0))</f>
        <v>0</v>
      </c>
      <c r="P68" s="5">
        <f ca="1">IF(WES=0,$B68*P56,IF(O56&gt;0,P56*O68/O56,0))</f>
        <v>0</v>
      </c>
      <c r="Q68" s="62">
        <f ca="1">SUM(E68:P68)</f>
        <v>0</v>
      </c>
      <c r="R68" s="33">
        <f ca="1">IF(WES=0,$B68*R56,IF(Q56&gt;0,R56*Q68/Q56,0))*(1+$D68)</f>
        <v>0</v>
      </c>
      <c r="S68" s="33">
        <f ca="1">IF(WES=0,$B68*S56*(1+$D68),IF(R56&gt;0,S56*R68/R56,0))*(1+$D68)</f>
        <v>0</v>
      </c>
      <c r="T68" s="33">
        <f ca="1">IF(WES=0,$B68*T56*(1+$D68)*(1+$D68),IF(S56&gt;0,T56*S68/S56,0))*(1+$D68)</f>
        <v>0</v>
      </c>
    </row>
    <row r="69" spans="1:20" ht="15" customHeight="1" x14ac:dyDescent="0.2">
      <c r="A69" s="182" t="str">
        <f>A10</f>
        <v>Starter Abo</v>
      </c>
      <c r="B69" s="162">
        <v>0</v>
      </c>
      <c r="C69" s="27">
        <f>C10</f>
        <v>0.2</v>
      </c>
      <c r="D69" s="255">
        <f>0%</f>
        <v>0</v>
      </c>
      <c r="E69" s="12">
        <f ca="1">IF(WES=0,$B69*E57,0)</f>
        <v>0</v>
      </c>
      <c r="F69" s="4">
        <f ca="1">IF(WES=0,$B69*F57,IF(E57&gt;0,F57*E69/E57,0))</f>
        <v>0</v>
      </c>
      <c r="G69" s="4">
        <f ca="1">IF(WES=0,$B69*G57,IF(F57&gt;0,G57*F69/F57,0))</f>
        <v>0</v>
      </c>
      <c r="H69" s="4">
        <f ca="1">IF(WES=0,$B69*H57,IF(G57&gt;0,H57*G69/G57,0))</f>
        <v>0</v>
      </c>
      <c r="I69" s="4">
        <f ca="1">IF(WES=0,$B69*I57,IF(H57&gt;0,I57*H69/H57,0))</f>
        <v>0</v>
      </c>
      <c r="J69" s="4">
        <f ca="1">IF(WES=0,$B69*J57,IF(I57&gt;0,J57*I69/I57,0))</f>
        <v>0</v>
      </c>
      <c r="K69" s="4">
        <f ca="1">IF(WES=0,$B69*K57,IF(J57&gt;0,K57*J69/J57,0))</f>
        <v>0</v>
      </c>
      <c r="L69" s="4">
        <f ca="1">IF(WES=0,$B69*L57,IF(K57&gt;0,L57*K69/K57,0))</f>
        <v>0</v>
      </c>
      <c r="M69" s="4">
        <f ca="1">IF(WES=0,$B69*M57,IF(L57&gt;0,M57*L69/L57,0))</f>
        <v>0</v>
      </c>
      <c r="N69" s="4">
        <f ca="1">IF(WES=0,$B69*N57,IF(M57&gt;0,N57*M69/M57,0))</f>
        <v>0</v>
      </c>
      <c r="O69" s="4">
        <f ca="1">IF(WES=0,$B69*O57,IF(N57&gt;0,O57*N69/N57,0))</f>
        <v>0</v>
      </c>
      <c r="P69" s="5">
        <f ca="1">IF(WES=0,$B69*P57,IF(O57&gt;0,P57*O69/O57,0))</f>
        <v>0</v>
      </c>
      <c r="Q69" s="62">
        <f ca="1">SUM(E69:P69)</f>
        <v>0</v>
      </c>
      <c r="R69" s="33">
        <f ca="1">IF(WES=0,$B69*R57,IF(Q57&gt;0,R57*Q69/Q57,0))*(1+$D69)</f>
        <v>0</v>
      </c>
      <c r="S69" s="33">
        <f ca="1">IF(WES=0,$B69*S57*(1+$D69),IF(R57&gt;0,S57*R69/R57,0))*(1+$D69)</f>
        <v>0</v>
      </c>
      <c r="T69" s="33">
        <f ca="1">IF(WES=0,$B69*T57*(1+$D69)*(1+$D69),IF(S57&gt;0,T57*S69/S57,0))*(1+$D69)</f>
        <v>0</v>
      </c>
    </row>
    <row r="70" spans="1:20" ht="15" customHeight="1" x14ac:dyDescent="0.2">
      <c r="A70" s="182" t="str">
        <f t="shared" ref="A70:A75" si="86">A11</f>
        <v>Professional Abo</v>
      </c>
      <c r="B70" s="162">
        <v>0</v>
      </c>
      <c r="C70" s="27">
        <f t="shared" ref="C70:C75" si="87">C11</f>
        <v>0.2</v>
      </c>
      <c r="D70" s="255">
        <f>0%</f>
        <v>0</v>
      </c>
      <c r="E70" s="12">
        <f ca="1">IF(WES=0,$B70*E58,0)</f>
        <v>0</v>
      </c>
      <c r="F70" s="4">
        <f ca="1">IF(WES=0,$B70*F58,IF(E58&gt;0,F58*E70/E58,0))</f>
        <v>0</v>
      </c>
      <c r="G70" s="4">
        <f ca="1">IF(WES=0,$B70*G58,IF(F58&gt;0,G58*F70/F58,0))</f>
        <v>0</v>
      </c>
      <c r="H70" s="4">
        <f ca="1">IF(WES=0,$B70*H58,IF(G58&gt;0,H58*G70/G58,0))</f>
        <v>0</v>
      </c>
      <c r="I70" s="4">
        <f ca="1">IF(WES=0,$B70*I58,IF(H58&gt;0,I58*H70/H58,0))</f>
        <v>0</v>
      </c>
      <c r="J70" s="4">
        <f ca="1">IF(WES=0,$B70*J58,IF(I58&gt;0,J58*I70/I58,0))</f>
        <v>0</v>
      </c>
      <c r="K70" s="4">
        <f ca="1">IF(WES=0,$B70*K58,IF(J58&gt;0,K58*J70/J58,0))</f>
        <v>0</v>
      </c>
      <c r="L70" s="4">
        <f ca="1">IF(WES=0,$B70*L58,IF(K58&gt;0,L58*K70/K58,0))</f>
        <v>0</v>
      </c>
      <c r="M70" s="4">
        <f ca="1">IF(WES=0,$B70*M58,IF(L58&gt;0,M58*L70/L58,0))</f>
        <v>0</v>
      </c>
      <c r="N70" s="4">
        <f ca="1">IF(WES=0,$B70*N58,IF(M58&gt;0,N58*M70/M58,0))</f>
        <v>0</v>
      </c>
      <c r="O70" s="4">
        <f ca="1">IF(WES=0,$B70*O58,IF(N58&gt;0,O58*N70/N58,0))</f>
        <v>0</v>
      </c>
      <c r="P70" s="5">
        <f ca="1">IF(WES=0,$B70*P58,IF(O58&gt;0,P58*O70/O58,0))</f>
        <v>0</v>
      </c>
      <c r="Q70" s="62">
        <f t="shared" ref="Q70:Q75" ca="1" si="88">SUM(E70:P70)</f>
        <v>0</v>
      </c>
      <c r="R70" s="33">
        <f ca="1">IF(WES=0,$B70*R58,IF(Q58&gt;0,R58*Q70/Q58,0))*(1+$D70)</f>
        <v>0</v>
      </c>
      <c r="S70" s="33">
        <f ca="1">IF(WES=0,$B70*S58*(1+$D70),IF(R58&gt;0,S58*R70/R58,0))*(1+$D70)</f>
        <v>0</v>
      </c>
      <c r="T70" s="33">
        <f ca="1">IF(WES=0,$B70*T58*(1+$D70)*(1+$D70),IF(S58&gt;0,T58*S70/S58,0))*(1+$D70)</f>
        <v>0</v>
      </c>
    </row>
    <row r="71" spans="1:20" ht="15" customHeight="1" x14ac:dyDescent="0.2">
      <c r="A71" s="182" t="str">
        <f t="shared" si="86"/>
        <v xml:space="preserve">Enterprise Abo </v>
      </c>
      <c r="B71" s="162">
        <v>0</v>
      </c>
      <c r="C71" s="27">
        <f t="shared" si="87"/>
        <v>0.2</v>
      </c>
      <c r="D71" s="255">
        <f>0%</f>
        <v>0</v>
      </c>
      <c r="E71" s="12">
        <f ca="1">IF(WES=0,$B71*E59,0)</f>
        <v>0</v>
      </c>
      <c r="F71" s="4">
        <f ca="1">IF(WES=0,$B71*F59,IF(E59&gt;0,F59*E71/E59,0))</f>
        <v>0</v>
      </c>
      <c r="G71" s="4">
        <f ca="1">IF(WES=0,$B71*G59,IF(F59&gt;0,G59*F71/F59,0))</f>
        <v>0</v>
      </c>
      <c r="H71" s="4">
        <f ca="1">IF(WES=0,$B71*H59,IF(G59&gt;0,H59*G71/G59,0))</f>
        <v>0</v>
      </c>
      <c r="I71" s="4">
        <f ca="1">IF(WES=0,$B71*I59,IF(H59&gt;0,I59*H71/H59,0))</f>
        <v>0</v>
      </c>
      <c r="J71" s="4">
        <f ca="1">IF(WES=0,$B71*J59,IF(I59&gt;0,J59*I71/I59,0))</f>
        <v>0</v>
      </c>
      <c r="K71" s="4">
        <f ca="1">IF(WES=0,$B71*K59,IF(J59&gt;0,K59*J71/J59,0))</f>
        <v>0</v>
      </c>
      <c r="L71" s="4">
        <f ca="1">IF(WES=0,$B71*L59,IF(K59&gt;0,L59*K71/K59,0))</f>
        <v>0</v>
      </c>
      <c r="M71" s="4">
        <f ca="1">IF(WES=0,$B71*M59,IF(L59&gt;0,M59*L71/L59,0))</f>
        <v>0</v>
      </c>
      <c r="N71" s="4">
        <f ca="1">IF(WES=0,$B71*N59,IF(M59&gt;0,N59*M71/M59,0))</f>
        <v>0</v>
      </c>
      <c r="O71" s="4">
        <f ca="1">IF(WES=0,$B71*O59,IF(N59&gt;0,O59*N71/N59,0))</f>
        <v>0</v>
      </c>
      <c r="P71" s="5">
        <f ca="1">IF(WES=0,$B71*P59,IF(O59&gt;0,P59*O71/O59,0))</f>
        <v>0</v>
      </c>
      <c r="Q71" s="62">
        <f t="shared" ca="1" si="88"/>
        <v>0</v>
      </c>
      <c r="R71" s="33">
        <f ca="1">IF(WES=0,$B71*R59,IF(Q59&gt;0,R59*Q71/Q59,0))*(1+$D71)</f>
        <v>0</v>
      </c>
      <c r="S71" s="33">
        <f ca="1">IF(WES=0,$B71*S59*(1+$D71),IF(R59&gt;0,S59*R71/R59,0))*(1+$D71)</f>
        <v>0</v>
      </c>
      <c r="T71" s="33">
        <f ca="1">IF(WES=0,$B71*T59*(1+$D71)*(1+$D71),IF(S59&gt;0,T59*S71/S59,0))*(1+$D71)</f>
        <v>0</v>
      </c>
    </row>
    <row r="72" spans="1:20" ht="15" customHeight="1" x14ac:dyDescent="0.2">
      <c r="A72" s="182">
        <f t="shared" si="86"/>
        <v>0</v>
      </c>
      <c r="B72" s="162">
        <f t="shared" ref="B72:B75" si="89">IF(SUM(Q60:T60)=0,0,SUM(Q72:T72)/SUM(Q60:T60))</f>
        <v>0</v>
      </c>
      <c r="C72" s="27">
        <f t="shared" si="87"/>
        <v>0.2</v>
      </c>
      <c r="D72" s="255">
        <f>0%</f>
        <v>0</v>
      </c>
      <c r="E72" s="12">
        <f ca="1">IF(WES=0,$B72*E60,0)</f>
        <v>0</v>
      </c>
      <c r="F72" s="4">
        <f ca="1">IF(WES=0,$B72*F60,IF(E60&gt;0,F60*E72/E60,0))</f>
        <v>0</v>
      </c>
      <c r="G72" s="4">
        <f ca="1">IF(WES=0,$B72*G60,IF(F60&gt;0,G60*F72/F60,0))</f>
        <v>0</v>
      </c>
      <c r="H72" s="4">
        <f ca="1">IF(WES=0,$B72*H60,IF(G60&gt;0,H60*G72/G60,0))</f>
        <v>0</v>
      </c>
      <c r="I72" s="4">
        <f ca="1">IF(WES=0,$B72*I60,IF(H60&gt;0,I60*H72/H60,0))</f>
        <v>0</v>
      </c>
      <c r="J72" s="4">
        <f ca="1">IF(WES=0,$B72*J60,IF(I60&gt;0,J60*I72/I60,0))</f>
        <v>0</v>
      </c>
      <c r="K72" s="4">
        <f ca="1">IF(WES=0,$B72*K60,IF(J60&gt;0,K60*J72/J60,0))</f>
        <v>0</v>
      </c>
      <c r="L72" s="4">
        <f ca="1">IF(WES=0,$B72*L60,IF(K60&gt;0,L60*K72/K60,0))</f>
        <v>0</v>
      </c>
      <c r="M72" s="4">
        <f ca="1">IF(WES=0,$B72*M60,IF(L60&gt;0,M60*L72/L60,0))</f>
        <v>0</v>
      </c>
      <c r="N72" s="4">
        <f ca="1">IF(WES=0,$B72*N60,IF(M60&gt;0,N60*M72/M60,0))</f>
        <v>0</v>
      </c>
      <c r="O72" s="4">
        <f ca="1">IF(WES=0,$B72*O60,IF(N60&gt;0,O60*N72/N60,0))</f>
        <v>0</v>
      </c>
      <c r="P72" s="5">
        <f ca="1">IF(WES=0,$B72*P60,IF(O60&gt;0,P60*O72/O60,0))</f>
        <v>0</v>
      </c>
      <c r="Q72" s="62">
        <f t="shared" ca="1" si="88"/>
        <v>0</v>
      </c>
      <c r="R72" s="33">
        <f ca="1">IF(WES=0,$B72*R60,IF(Q60&gt;0,R60*Q72/Q60,0))*(1+$D72)</f>
        <v>0</v>
      </c>
      <c r="S72" s="33">
        <f ca="1">IF(WES=0,$B72*S60*(1+$D72),IF(R60&gt;0,S60*R72/R60,0))*(1+$D72)</f>
        <v>0</v>
      </c>
      <c r="T72" s="33">
        <f ca="1">IF(WES=0,$B72*T60*(1+$D72)*(1+$D72),IF(S60&gt;0,T60*S72/S60,0))*(1+$D72)</f>
        <v>0</v>
      </c>
    </row>
    <row r="73" spans="1:20" ht="15" customHeight="1" x14ac:dyDescent="0.2">
      <c r="A73" s="182">
        <f t="shared" si="86"/>
        <v>0</v>
      </c>
      <c r="B73" s="162">
        <f t="shared" si="89"/>
        <v>0</v>
      </c>
      <c r="C73" s="27">
        <f t="shared" si="87"/>
        <v>0.2</v>
      </c>
      <c r="D73" s="255">
        <f>0%</f>
        <v>0</v>
      </c>
      <c r="E73" s="12">
        <f ca="1">IF(WES=0,$B73*E61,0)</f>
        <v>0</v>
      </c>
      <c r="F73" s="4">
        <f ca="1">IF(WES=0,$B73*F61,IF(E61&gt;0,F61*E73/E61,0))</f>
        <v>0</v>
      </c>
      <c r="G73" s="4">
        <f ca="1">IF(WES=0,$B73*G61,IF(F61&gt;0,G61*F73/F61,0))</f>
        <v>0</v>
      </c>
      <c r="H73" s="4">
        <f ca="1">IF(WES=0,$B73*H61,IF(G61&gt;0,H61*G73/G61,0))</f>
        <v>0</v>
      </c>
      <c r="I73" s="4">
        <f ca="1">IF(WES=0,$B73*I61,IF(H61&gt;0,I61*H73/H61,0))</f>
        <v>0</v>
      </c>
      <c r="J73" s="4">
        <f ca="1">IF(WES=0,$B73*J61,IF(I61&gt;0,J61*I73/I61,0))</f>
        <v>0</v>
      </c>
      <c r="K73" s="4">
        <f ca="1">IF(WES=0,$B73*K61,IF(J61&gt;0,K61*J73/J61,0))</f>
        <v>0</v>
      </c>
      <c r="L73" s="4">
        <f ca="1">IF(WES=0,$B73*L61,IF(K61&gt;0,L61*K73/K61,0))</f>
        <v>0</v>
      </c>
      <c r="M73" s="4">
        <f ca="1">IF(WES=0,$B73*M61,IF(L61&gt;0,M61*L73/L61,0))</f>
        <v>0</v>
      </c>
      <c r="N73" s="4">
        <f ca="1">IF(WES=0,$B73*N61,IF(M61&gt;0,N61*M73/M61,0))</f>
        <v>0</v>
      </c>
      <c r="O73" s="4">
        <f ca="1">IF(WES=0,$B73*O61,IF(N61&gt;0,O61*N73/N61,0))</f>
        <v>0</v>
      </c>
      <c r="P73" s="5">
        <f ca="1">IF(WES=0,$B73*P61,IF(O61&gt;0,P61*O73/O61,0))</f>
        <v>0</v>
      </c>
      <c r="Q73" s="62">
        <f t="shared" ca="1" si="88"/>
        <v>0</v>
      </c>
      <c r="R73" s="33">
        <f ca="1">IF(WES=0,$B73*R61,IF(Q61&gt;0,R61*Q73/Q61,0))*(1+$D73)</f>
        <v>0</v>
      </c>
      <c r="S73" s="33">
        <f ca="1">IF(WES=0,$B73*S61*(1+$D73),IF(R61&gt;0,S61*R73/R61,0))*(1+$D73)</f>
        <v>0</v>
      </c>
      <c r="T73" s="33">
        <f ca="1">IF(WES=0,$B73*T61*(1+$D73)*(1+$D73),IF(S61&gt;0,T61*S73/S61,0))*(1+$D73)</f>
        <v>0</v>
      </c>
    </row>
    <row r="74" spans="1:20" ht="15" customHeight="1" x14ac:dyDescent="0.2">
      <c r="A74" s="182">
        <f t="shared" si="86"/>
        <v>0</v>
      </c>
      <c r="B74" s="162">
        <f t="shared" si="89"/>
        <v>0</v>
      </c>
      <c r="C74" s="27">
        <f t="shared" si="87"/>
        <v>0.2</v>
      </c>
      <c r="D74" s="255">
        <f>0%</f>
        <v>0</v>
      </c>
      <c r="E74" s="12">
        <f ca="1">IF(WES=0,$B74*E62,0)</f>
        <v>0</v>
      </c>
      <c r="F74" s="4">
        <f ca="1">IF(WES=0,$B74*F62,IF(E62&gt;0,F62*E74/E62,0))</f>
        <v>0</v>
      </c>
      <c r="G74" s="4">
        <f ca="1">IF(WES=0,$B74*G62,IF(F62&gt;0,G62*F74/F62,0))</f>
        <v>0</v>
      </c>
      <c r="H74" s="4">
        <f ca="1">IF(WES=0,$B74*H62,IF(G62&gt;0,H62*G74/G62,0))</f>
        <v>0</v>
      </c>
      <c r="I74" s="4">
        <f ca="1">IF(WES=0,$B74*I62,IF(H62&gt;0,I62*H74/H62,0))</f>
        <v>0</v>
      </c>
      <c r="J74" s="4">
        <f ca="1">IF(WES=0,$B74*J62,IF(I62&gt;0,J62*I74/I62,0))</f>
        <v>0</v>
      </c>
      <c r="K74" s="4">
        <f ca="1">IF(WES=0,$B74*K62,IF(J62&gt;0,K62*J74/J62,0))</f>
        <v>0</v>
      </c>
      <c r="L74" s="4">
        <f ca="1">IF(WES=0,$B74*L62,IF(K62&gt;0,L62*K74/K62,0))</f>
        <v>0</v>
      </c>
      <c r="M74" s="4">
        <f ca="1">IF(WES=0,$B74*M62,IF(L62&gt;0,M62*L74/L62,0))</f>
        <v>0</v>
      </c>
      <c r="N74" s="4">
        <f ca="1">IF(WES=0,$B74*N62,IF(M62&gt;0,N62*M74/M62,0))</f>
        <v>0</v>
      </c>
      <c r="O74" s="4">
        <f ca="1">IF(WES=0,$B74*O62,IF(N62&gt;0,O62*N74/N62,0))</f>
        <v>0</v>
      </c>
      <c r="P74" s="5">
        <f ca="1">IF(WES=0,$B74*P62,IF(O62&gt;0,P62*O74/O62,0))</f>
        <v>0</v>
      </c>
      <c r="Q74" s="62">
        <f t="shared" ca="1" si="88"/>
        <v>0</v>
      </c>
      <c r="R74" s="33">
        <f ca="1">IF(WES=0,$B74*R62,IF(Q62&gt;0,R62*Q74/Q62,0))*(1+$D74)</f>
        <v>0</v>
      </c>
      <c r="S74" s="33">
        <f ca="1">IF(WES=0,$B74*S62*(1+$D74),IF(R62&gt;0,S62*R74/R62,0))*(1+$D74)</f>
        <v>0</v>
      </c>
      <c r="T74" s="33">
        <f ca="1">IF(WES=0,$B74*T62*(1+$D74)*(1+$D74),IF(S62&gt;0,T62*S74/S62,0))*(1+$D74)</f>
        <v>0</v>
      </c>
    </row>
    <row r="75" spans="1:20" ht="15" customHeight="1" x14ac:dyDescent="0.2">
      <c r="A75" s="182">
        <f t="shared" si="86"/>
        <v>0</v>
      </c>
      <c r="B75" s="162">
        <f t="shared" si="89"/>
        <v>0</v>
      </c>
      <c r="C75" s="27">
        <f t="shared" si="87"/>
        <v>0.2</v>
      </c>
      <c r="D75" s="255">
        <f>0%</f>
        <v>0</v>
      </c>
      <c r="E75" s="12">
        <f ca="1">IF(WES=0,$B75*E63,0)</f>
        <v>0</v>
      </c>
      <c r="F75" s="4">
        <f ca="1">IF(WES=0,$B75*F63,IF(E63&gt;0,F63*E75/E63,0))</f>
        <v>0</v>
      </c>
      <c r="G75" s="4">
        <f ca="1">IF(WES=0,$B75*G63,IF(F63&gt;0,G63*F75/F63,0))</f>
        <v>0</v>
      </c>
      <c r="H75" s="4">
        <f ca="1">IF(WES=0,$B75*H63,IF(G63&gt;0,H63*G75/G63,0))</f>
        <v>0</v>
      </c>
      <c r="I75" s="4">
        <f ca="1">IF(WES=0,$B75*I63,IF(H63&gt;0,I63*H75/H63,0))</f>
        <v>0</v>
      </c>
      <c r="J75" s="4">
        <f ca="1">IF(WES=0,$B75*J63,IF(I63&gt;0,J63*I75/I63,0))</f>
        <v>0</v>
      </c>
      <c r="K75" s="4">
        <f ca="1">IF(WES=0,$B75*K63,IF(J63&gt;0,K63*J75/J63,0))</f>
        <v>0</v>
      </c>
      <c r="L75" s="4">
        <f ca="1">IF(WES=0,$B75*L63,IF(K63&gt;0,L63*K75/K63,0))</f>
        <v>0</v>
      </c>
      <c r="M75" s="4">
        <f ca="1">IF(WES=0,$B75*M63,IF(L63&gt;0,M63*L75/L63,0))</f>
        <v>0</v>
      </c>
      <c r="N75" s="4">
        <f ca="1">IF(WES=0,$B75*N63,IF(M63&gt;0,N63*M75/M63,0))</f>
        <v>0</v>
      </c>
      <c r="O75" s="4">
        <f ca="1">IF(WES=0,$B75*O63,IF(N63&gt;0,O63*N75/N63,0))</f>
        <v>0</v>
      </c>
      <c r="P75" s="5">
        <f ca="1">IF(WES=0,$B75*P63,IF(O63&gt;0,P63*O75/O63,0))</f>
        <v>0</v>
      </c>
      <c r="Q75" s="62">
        <f t="shared" ca="1" si="88"/>
        <v>0</v>
      </c>
      <c r="R75" s="33">
        <f ca="1">IF(WES=0,$B75*R63,IF(Q63&gt;0,R63*Q75/Q63,0))*(1+$D75)</f>
        <v>0</v>
      </c>
      <c r="S75" s="33">
        <f ca="1">IF(WES=0,$B75*S63*(1+$D75),IF(R63&gt;0,S63*R75/R63,0))*(1+$D75)</f>
        <v>0</v>
      </c>
      <c r="T75" s="33">
        <f ca="1">IF(WES=0,$B75*T63*(1+$D75)*(1+$D75),IF(S63&gt;0,T63*S75/S63,0))*(1+$D75)</f>
        <v>0</v>
      </c>
    </row>
    <row r="76" spans="1:20" ht="15" customHeight="1" x14ac:dyDescent="0.2">
      <c r="A76" s="182">
        <f>A17</f>
        <v>0</v>
      </c>
      <c r="B76" s="162">
        <f>IF(SUM(Q64:T64)=0,0,SUM(Q76:T76)/SUM(Q64:T64))</f>
        <v>0</v>
      </c>
      <c r="C76" s="27">
        <f>C17</f>
        <v>0.2</v>
      </c>
      <c r="D76" s="255">
        <f>0%</f>
        <v>0</v>
      </c>
      <c r="E76" s="12">
        <f ca="1">IF(WES=0,$B76*E64,0)</f>
        <v>0</v>
      </c>
      <c r="F76" s="4">
        <f ca="1">IF(WES=0,$B76*F64,IF(E64&gt;0,F64*E76/E64,0))</f>
        <v>0</v>
      </c>
      <c r="G76" s="4">
        <f ca="1">IF(WES=0,$B76*G64,IF(F64&gt;0,G64*F76/F64,0))</f>
        <v>0</v>
      </c>
      <c r="H76" s="4">
        <f ca="1">IF(WES=0,$B76*H64,IF(G64&gt;0,H64*G76/G64,0))</f>
        <v>0</v>
      </c>
      <c r="I76" s="4">
        <f ca="1">IF(WES=0,$B76*I64,IF(H64&gt;0,I64*H76/H64,0))</f>
        <v>0</v>
      </c>
      <c r="J76" s="4">
        <f ca="1">IF(WES=0,$B76*J64,IF(I64&gt;0,J64*I76/I64,0))</f>
        <v>0</v>
      </c>
      <c r="K76" s="4">
        <f ca="1">IF(WES=0,$B76*K64,IF(J64&gt;0,K64*J76/J64,0))</f>
        <v>0</v>
      </c>
      <c r="L76" s="4">
        <f ca="1">IF(WES=0,$B76*L64,IF(K64&gt;0,L64*K76/K64,0))</f>
        <v>0</v>
      </c>
      <c r="M76" s="4">
        <f ca="1">IF(WES=0,$B76*M64,IF(L64&gt;0,M64*L76/L64,0))</f>
        <v>0</v>
      </c>
      <c r="N76" s="4">
        <f ca="1">IF(WES=0,$B76*N64,IF(M64&gt;0,N64*M76/M64,0))</f>
        <v>0</v>
      </c>
      <c r="O76" s="4">
        <f ca="1">IF(WES=0,$B76*O64,IF(N64&gt;0,O64*N76/N64,0))</f>
        <v>0</v>
      </c>
      <c r="P76" s="5">
        <f ca="1">IF(WES=0,$B76*P64,IF(O64&gt;0,P64*O76/O64,0))</f>
        <v>0</v>
      </c>
      <c r="Q76" s="62">
        <f ca="1">SUM(E76:P76)</f>
        <v>0</v>
      </c>
      <c r="R76" s="33">
        <f ca="1">IF(WES=0,$B76*R64,IF(Q64&gt;0,R64*Q76/Q64,0))*(1+$D76)</f>
        <v>0</v>
      </c>
      <c r="S76" s="33">
        <f ca="1">IF(WES=0,$B76*S64*(1+$D76),IF(R64&gt;0,S64*R76/R64,0))*(1+$D76)</f>
        <v>0</v>
      </c>
      <c r="T76" s="33">
        <f ca="1">IF(WES=0,$B76*T64*(1+$D76)*(1+$D76),IF(S64&gt;0,T64*S76/S64,0))*(1+$D76)</f>
        <v>0</v>
      </c>
    </row>
    <row r="77" spans="1:20" ht="15" customHeight="1" x14ac:dyDescent="0.2">
      <c r="A77" s="182">
        <f>A18</f>
        <v>0</v>
      </c>
      <c r="B77" s="162">
        <f>IF(SUM(Q65:T65)=0,0,SUM(Q77:T77)/SUM(Q65:T65))</f>
        <v>0</v>
      </c>
      <c r="C77" s="27">
        <f>C18</f>
        <v>0.2</v>
      </c>
      <c r="D77" s="255">
        <f>0%</f>
        <v>0</v>
      </c>
      <c r="E77" s="12">
        <f ca="1">IF(WES=0,$B77*E65,0)</f>
        <v>0</v>
      </c>
      <c r="F77" s="4">
        <f ca="1">IF(WES=0,$B77*F65,IF(E65&gt;0,F65*E77/E65,0))</f>
        <v>0</v>
      </c>
      <c r="G77" s="4">
        <f ca="1">IF(WES=0,$B77*G65,IF(F65&gt;0,G65*F77/F65,0))</f>
        <v>0</v>
      </c>
      <c r="H77" s="4">
        <f ca="1">IF(WES=0,$B77*H65,IF(G65&gt;0,H65*G77/G65,0))</f>
        <v>0</v>
      </c>
      <c r="I77" s="4">
        <f ca="1">IF(WES=0,$B77*I65,IF(H65&gt;0,I65*H77/H65,0))</f>
        <v>0</v>
      </c>
      <c r="J77" s="4">
        <f ca="1">IF(WES=0,$B77*J65,IF(I65&gt;0,J65*I77/I65,0))</f>
        <v>0</v>
      </c>
      <c r="K77" s="4">
        <f ca="1">IF(WES=0,$B77*K65,IF(J65&gt;0,K65*J77/J65,0))</f>
        <v>0</v>
      </c>
      <c r="L77" s="4">
        <f ca="1">IF(WES=0,$B77*L65,IF(K65&gt;0,L65*K77/K65,0))</f>
        <v>0</v>
      </c>
      <c r="M77" s="4">
        <f ca="1">IF(WES=0,$B77*M65,IF(L65&gt;0,M65*L77/L65,0))</f>
        <v>0</v>
      </c>
      <c r="N77" s="4">
        <f ca="1">IF(WES=0,$B77*N65,IF(M65&gt;0,N65*M77/M65,0))</f>
        <v>0</v>
      </c>
      <c r="O77" s="4">
        <f ca="1">IF(WES=0,$B77*O65,IF(N65&gt;0,O65*N77/N65,0))</f>
        <v>0</v>
      </c>
      <c r="P77" s="5">
        <f ca="1">IF(WES=0,$B77*P65,IF(O65&gt;0,P65*O77/O65,0))</f>
        <v>0</v>
      </c>
      <c r="Q77" s="62">
        <f ca="1">SUM(E77:P77)</f>
        <v>0</v>
      </c>
      <c r="R77" s="33">
        <f ca="1">IF(WES=0,$B77*R65,IF(Q65&gt;0,R65*Q77/Q65,0))*(1+$D77)</f>
        <v>0</v>
      </c>
      <c r="S77" s="33">
        <f ca="1">IF(WES=0,$B77*S65*(1+$D77),IF(R65&gt;0,S65*R77/R65,0))*(1+$D77)</f>
        <v>0</v>
      </c>
      <c r="T77" s="33">
        <f ca="1">IF(WES=0,$B77*T65*(1+$D77)*(1+$D77),IF(S65&gt;0,T65*S77/S65,0))*(1+$D77)</f>
        <v>0</v>
      </c>
    </row>
    <row r="78" spans="1:20" ht="15" customHeight="1" x14ac:dyDescent="0.2">
      <c r="A78" s="183" t="s">
        <v>65</v>
      </c>
      <c r="B78" s="187">
        <f ca="1">IF(SUM(Q66:T66)=0,0,SUM(Q78:T78)/SUM(Q66:T66))</f>
        <v>0</v>
      </c>
      <c r="C78" s="180">
        <f t="array" aca="1" ref="C78" ca="1">IF(SUM(Q78:T78)=0,0,SUM(Q68:T77*C68:C77)/SUM(Q78:T78))</f>
        <v>0</v>
      </c>
      <c r="D78" s="252">
        <f ca="1">ROUND((IF(Q78=0,0,IF(Q78&gt;0,1,-1)*(R78/(Q78/(COUNTIF(E78:P78,"&gt;0")+COUNTIF(E78:P78,"&lt;0"))*12)-1))+IF(R78=0,0,IF(R78&gt;0,1,-1)*(S78/R78-1))+IF(S78=0,0,IF(S78&gt;0,1,-1)*(T78/S78-1)))/3,2)</f>
        <v>0</v>
      </c>
      <c r="E78" s="165">
        <f ca="1">SUM(E68:E77)</f>
        <v>0</v>
      </c>
      <c r="F78" s="166">
        <f t="shared" ref="F78:O78" ca="1" si="90">SUM(F68:F77)</f>
        <v>0</v>
      </c>
      <c r="G78" s="166">
        <f t="shared" ca="1" si="90"/>
        <v>0</v>
      </c>
      <c r="H78" s="166">
        <f t="shared" ca="1" si="90"/>
        <v>0</v>
      </c>
      <c r="I78" s="166">
        <f t="shared" ca="1" si="90"/>
        <v>0</v>
      </c>
      <c r="J78" s="166">
        <f t="shared" ca="1" si="90"/>
        <v>0</v>
      </c>
      <c r="K78" s="166">
        <f t="shared" ca="1" si="90"/>
        <v>0</v>
      </c>
      <c r="L78" s="166">
        <f ca="1">SUM(L68:L77)</f>
        <v>0</v>
      </c>
      <c r="M78" s="166">
        <f t="shared" ca="1" si="90"/>
        <v>0</v>
      </c>
      <c r="N78" s="166">
        <f t="shared" ca="1" si="90"/>
        <v>0</v>
      </c>
      <c r="O78" s="166">
        <f t="shared" ca="1" si="90"/>
        <v>0</v>
      </c>
      <c r="P78" s="167">
        <f ca="1">SUM(P68:P77)</f>
        <v>0</v>
      </c>
      <c r="Q78" s="177">
        <f ca="1">SUM(E78:P78)</f>
        <v>0</v>
      </c>
      <c r="R78" s="177">
        <f ca="1">SUM(R68:R77)</f>
        <v>0</v>
      </c>
      <c r="S78" s="177">
        <f ca="1">SUM(S68:S77)</f>
        <v>0</v>
      </c>
      <c r="T78" s="177">
        <f ca="1">SUM(T68:T77)</f>
        <v>0</v>
      </c>
    </row>
    <row r="79" spans="1:20" ht="15" customHeight="1" x14ac:dyDescent="0.2">
      <c r="A79" s="302" t="str">
        <f>'Plan-G&amp;V'!A13</f>
        <v>Rohertrag (Bruttogewinn) inkl. Best.ver.</v>
      </c>
      <c r="B79" s="303"/>
      <c r="C79" s="303"/>
      <c r="D79" s="241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251" t="str">
        <f>"+/-"</f>
        <v>+/-</v>
      </c>
      <c r="R79" s="246">
        <f ca="1">IF(Q90=0,0,R90/(Q90/COUNTIF(E90:P90,"&lt;&gt;0")*12)-1)</f>
        <v>0</v>
      </c>
      <c r="S79" s="246">
        <f ca="1">IF(R90=0,0,S90/R90-1)</f>
        <v>1</v>
      </c>
      <c r="T79" s="246">
        <f ca="1">IF(S90=0,0,T90/S90-1)</f>
        <v>0.5</v>
      </c>
    </row>
    <row r="80" spans="1:20" ht="15" customHeight="1" x14ac:dyDescent="0.2">
      <c r="A80" s="285" t="str">
        <f>A9</f>
        <v>Pilotprojekt</v>
      </c>
      <c r="B80" s="286"/>
      <c r="C80" s="287"/>
      <c r="D80" s="250">
        <f t="shared" ref="D80:D90" ca="1" si="91">(IF(Q80=0,0,IF(Q80&gt;0,1,-1)*(R80/(Q80/(COUNTIF(E80:P80,"&gt;0")+COUNTIF(E80:P80,"&lt;0"))*12)-1))+IF(R80=0,0,IF(R80&gt;0,1,-1)*(S80/R80-1))+IF(S80=0,0,IF(S80&gt;0,1,-1)*(T80/S80-1)))/3</f>
        <v>0</v>
      </c>
      <c r="E80" s="78">
        <f ca="1">E56-E68</f>
        <v>0</v>
      </c>
      <c r="F80" s="63">
        <f t="shared" ref="F80:T80" ca="1" si="92">F56-F68</f>
        <v>0</v>
      </c>
      <c r="G80" s="63">
        <f t="shared" ca="1" si="92"/>
        <v>0</v>
      </c>
      <c r="H80" s="63">
        <f t="shared" ca="1" si="92"/>
        <v>0</v>
      </c>
      <c r="I80" s="63">
        <f t="shared" ca="1" si="92"/>
        <v>0</v>
      </c>
      <c r="J80" s="63">
        <f t="shared" ca="1" si="92"/>
        <v>0</v>
      </c>
      <c r="K80" s="63">
        <f t="shared" ca="1" si="92"/>
        <v>0</v>
      </c>
      <c r="L80" s="63">
        <f t="shared" ca="1" si="92"/>
        <v>0</v>
      </c>
      <c r="M80" s="63">
        <f t="shared" ca="1" si="92"/>
        <v>0</v>
      </c>
      <c r="N80" s="63">
        <f t="shared" ca="1" si="92"/>
        <v>0</v>
      </c>
      <c r="O80" s="63">
        <f t="shared" ca="1" si="92"/>
        <v>0</v>
      </c>
      <c r="P80" s="64">
        <f t="shared" ca="1" si="92"/>
        <v>0</v>
      </c>
      <c r="Q80" s="62">
        <f t="shared" ca="1" si="92"/>
        <v>0</v>
      </c>
      <c r="R80" s="62">
        <f t="shared" ca="1" si="92"/>
        <v>0</v>
      </c>
      <c r="S80" s="62">
        <f t="shared" ca="1" si="92"/>
        <v>0</v>
      </c>
      <c r="T80" s="62">
        <f t="shared" ca="1" si="92"/>
        <v>0</v>
      </c>
    </row>
    <row r="81" spans="1:20" ht="15" customHeight="1" x14ac:dyDescent="0.2">
      <c r="A81" s="285" t="str">
        <f>A10</f>
        <v>Starter Abo</v>
      </c>
      <c r="B81" s="286"/>
      <c r="C81" s="287"/>
      <c r="D81" s="250">
        <f t="shared" ca="1" si="91"/>
        <v>0.5</v>
      </c>
      <c r="E81" s="78">
        <f t="shared" ref="E81:T81" ca="1" si="93">E57-E69</f>
        <v>0</v>
      </c>
      <c r="F81" s="63">
        <f t="shared" ca="1" si="93"/>
        <v>0</v>
      </c>
      <c r="G81" s="63">
        <f t="shared" ca="1" si="93"/>
        <v>0</v>
      </c>
      <c r="H81" s="63">
        <f t="shared" ca="1" si="93"/>
        <v>0</v>
      </c>
      <c r="I81" s="63">
        <f t="shared" ca="1" si="93"/>
        <v>0</v>
      </c>
      <c r="J81" s="63">
        <f t="shared" ca="1" si="93"/>
        <v>0</v>
      </c>
      <c r="K81" s="63">
        <f t="shared" ca="1" si="93"/>
        <v>0</v>
      </c>
      <c r="L81" s="63">
        <f t="shared" ca="1" si="93"/>
        <v>0</v>
      </c>
      <c r="M81" s="63">
        <f t="shared" ca="1" si="93"/>
        <v>0</v>
      </c>
      <c r="N81" s="63">
        <f t="shared" ca="1" si="93"/>
        <v>0</v>
      </c>
      <c r="O81" s="63">
        <f t="shared" ca="1" si="93"/>
        <v>0</v>
      </c>
      <c r="P81" s="64">
        <f t="shared" ca="1" si="93"/>
        <v>0</v>
      </c>
      <c r="Q81" s="62">
        <f t="shared" ca="1" si="93"/>
        <v>0</v>
      </c>
      <c r="R81" s="62">
        <f t="shared" ca="1" si="93"/>
        <v>18000</v>
      </c>
      <c r="S81" s="62">
        <f t="shared" ca="1" si="93"/>
        <v>36000</v>
      </c>
      <c r="T81" s="62">
        <f t="shared" ca="1" si="93"/>
        <v>54000</v>
      </c>
    </row>
    <row r="82" spans="1:20" ht="15" customHeight="1" x14ac:dyDescent="0.2">
      <c r="A82" s="285" t="str">
        <f t="shared" ref="A82:A87" si="94">A11</f>
        <v>Professional Abo</v>
      </c>
      <c r="B82" s="286"/>
      <c r="C82" s="287"/>
      <c r="D82" s="250">
        <f t="shared" ca="1" si="91"/>
        <v>0.5</v>
      </c>
      <c r="E82" s="78">
        <f t="shared" ref="E82:T82" ca="1" si="95">E58-E70</f>
        <v>0</v>
      </c>
      <c r="F82" s="63">
        <f t="shared" ca="1" si="95"/>
        <v>0</v>
      </c>
      <c r="G82" s="63">
        <f t="shared" ca="1" si="95"/>
        <v>0</v>
      </c>
      <c r="H82" s="63">
        <f t="shared" ca="1" si="95"/>
        <v>0</v>
      </c>
      <c r="I82" s="63">
        <f t="shared" ca="1" si="95"/>
        <v>0</v>
      </c>
      <c r="J82" s="63">
        <f t="shared" ca="1" si="95"/>
        <v>0</v>
      </c>
      <c r="K82" s="63">
        <f t="shared" ca="1" si="95"/>
        <v>0</v>
      </c>
      <c r="L82" s="63">
        <f t="shared" ca="1" si="95"/>
        <v>0</v>
      </c>
      <c r="M82" s="63">
        <f t="shared" ca="1" si="95"/>
        <v>0</v>
      </c>
      <c r="N82" s="63">
        <f t="shared" ca="1" si="95"/>
        <v>0</v>
      </c>
      <c r="O82" s="63">
        <f t="shared" ca="1" si="95"/>
        <v>0</v>
      </c>
      <c r="P82" s="64">
        <f t="shared" ca="1" si="95"/>
        <v>0</v>
      </c>
      <c r="Q82" s="62">
        <f t="shared" ca="1" si="95"/>
        <v>0</v>
      </c>
      <c r="R82" s="62">
        <f t="shared" ca="1" si="95"/>
        <v>24000</v>
      </c>
      <c r="S82" s="62">
        <f t="shared" ca="1" si="95"/>
        <v>48000</v>
      </c>
      <c r="T82" s="62">
        <f t="shared" ca="1" si="95"/>
        <v>72000</v>
      </c>
    </row>
    <row r="83" spans="1:20" ht="15" customHeight="1" x14ac:dyDescent="0.2">
      <c r="A83" s="285" t="str">
        <f t="shared" si="94"/>
        <v xml:space="preserve">Enterprise Abo </v>
      </c>
      <c r="B83" s="286"/>
      <c r="C83" s="287"/>
      <c r="D83" s="250">
        <f t="shared" ca="1" si="91"/>
        <v>0.5</v>
      </c>
      <c r="E83" s="78">
        <f t="shared" ref="E83:T83" ca="1" si="96">E59-E71</f>
        <v>0</v>
      </c>
      <c r="F83" s="63">
        <f t="shared" ca="1" si="96"/>
        <v>0</v>
      </c>
      <c r="G83" s="63">
        <f t="shared" ca="1" si="96"/>
        <v>0</v>
      </c>
      <c r="H83" s="63">
        <f t="shared" ca="1" si="96"/>
        <v>0</v>
      </c>
      <c r="I83" s="63">
        <f t="shared" ca="1" si="96"/>
        <v>0</v>
      </c>
      <c r="J83" s="63">
        <f t="shared" ca="1" si="96"/>
        <v>0</v>
      </c>
      <c r="K83" s="63">
        <f t="shared" ca="1" si="96"/>
        <v>0</v>
      </c>
      <c r="L83" s="63">
        <f t="shared" ca="1" si="96"/>
        <v>0</v>
      </c>
      <c r="M83" s="63">
        <f t="shared" ca="1" si="96"/>
        <v>0</v>
      </c>
      <c r="N83" s="63">
        <f t="shared" ca="1" si="96"/>
        <v>0</v>
      </c>
      <c r="O83" s="63">
        <f t="shared" ca="1" si="96"/>
        <v>0</v>
      </c>
      <c r="P83" s="64">
        <f t="shared" ca="1" si="96"/>
        <v>0</v>
      </c>
      <c r="Q83" s="62">
        <f t="shared" ca="1" si="96"/>
        <v>0</v>
      </c>
      <c r="R83" s="62">
        <f t="shared" ca="1" si="96"/>
        <v>28800</v>
      </c>
      <c r="S83" s="62">
        <f t="shared" ca="1" si="96"/>
        <v>57600</v>
      </c>
      <c r="T83" s="62">
        <f t="shared" ca="1" si="96"/>
        <v>86400</v>
      </c>
    </row>
    <row r="84" spans="1:20" ht="15" customHeight="1" x14ac:dyDescent="0.2">
      <c r="A84" s="285">
        <f t="shared" si="94"/>
        <v>0</v>
      </c>
      <c r="B84" s="286"/>
      <c r="C84" s="287"/>
      <c r="D84" s="250">
        <f t="shared" ca="1" si="91"/>
        <v>0</v>
      </c>
      <c r="E84" s="78">
        <f t="shared" ref="E84:T84" ca="1" si="97">E60-E72</f>
        <v>0</v>
      </c>
      <c r="F84" s="63">
        <f t="shared" ca="1" si="97"/>
        <v>0</v>
      </c>
      <c r="G84" s="63">
        <f t="shared" ca="1" si="97"/>
        <v>0</v>
      </c>
      <c r="H84" s="63">
        <f t="shared" ca="1" si="97"/>
        <v>0</v>
      </c>
      <c r="I84" s="63">
        <f t="shared" ca="1" si="97"/>
        <v>0</v>
      </c>
      <c r="J84" s="63">
        <f t="shared" ca="1" si="97"/>
        <v>0</v>
      </c>
      <c r="K84" s="63">
        <f t="shared" ca="1" si="97"/>
        <v>0</v>
      </c>
      <c r="L84" s="63">
        <f t="shared" ca="1" si="97"/>
        <v>0</v>
      </c>
      <c r="M84" s="63">
        <f t="shared" ca="1" si="97"/>
        <v>0</v>
      </c>
      <c r="N84" s="63">
        <f t="shared" ca="1" si="97"/>
        <v>0</v>
      </c>
      <c r="O84" s="63">
        <f t="shared" ca="1" si="97"/>
        <v>0</v>
      </c>
      <c r="P84" s="64">
        <f t="shared" ca="1" si="97"/>
        <v>0</v>
      </c>
      <c r="Q84" s="62">
        <f t="shared" ca="1" si="97"/>
        <v>0</v>
      </c>
      <c r="R84" s="62">
        <f t="shared" ca="1" si="97"/>
        <v>0</v>
      </c>
      <c r="S84" s="62">
        <f t="shared" ca="1" si="97"/>
        <v>0</v>
      </c>
      <c r="T84" s="62">
        <f t="shared" ca="1" si="97"/>
        <v>0</v>
      </c>
    </row>
    <row r="85" spans="1:20" ht="15" customHeight="1" x14ac:dyDescent="0.2">
      <c r="A85" s="285">
        <f t="shared" si="94"/>
        <v>0</v>
      </c>
      <c r="B85" s="286"/>
      <c r="C85" s="287"/>
      <c r="D85" s="250">
        <f t="shared" ca="1" si="91"/>
        <v>0</v>
      </c>
      <c r="E85" s="78">
        <f t="shared" ref="E85:T85" ca="1" si="98">E61-E73</f>
        <v>0</v>
      </c>
      <c r="F85" s="63">
        <f t="shared" ca="1" si="98"/>
        <v>0</v>
      </c>
      <c r="G85" s="63">
        <f t="shared" ca="1" si="98"/>
        <v>0</v>
      </c>
      <c r="H85" s="63">
        <f t="shared" ca="1" si="98"/>
        <v>0</v>
      </c>
      <c r="I85" s="63">
        <f t="shared" ca="1" si="98"/>
        <v>0</v>
      </c>
      <c r="J85" s="63">
        <f t="shared" ca="1" si="98"/>
        <v>0</v>
      </c>
      <c r="K85" s="63">
        <f t="shared" ca="1" si="98"/>
        <v>0</v>
      </c>
      <c r="L85" s="63">
        <f t="shared" ca="1" si="98"/>
        <v>0</v>
      </c>
      <c r="M85" s="63">
        <f t="shared" ca="1" si="98"/>
        <v>0</v>
      </c>
      <c r="N85" s="63">
        <f t="shared" ca="1" si="98"/>
        <v>0</v>
      </c>
      <c r="O85" s="63">
        <f t="shared" ca="1" si="98"/>
        <v>0</v>
      </c>
      <c r="P85" s="64">
        <f t="shared" ca="1" si="98"/>
        <v>0</v>
      </c>
      <c r="Q85" s="62">
        <f t="shared" ca="1" si="98"/>
        <v>0</v>
      </c>
      <c r="R85" s="62">
        <f t="shared" ca="1" si="98"/>
        <v>0</v>
      </c>
      <c r="S85" s="62">
        <f t="shared" ca="1" si="98"/>
        <v>0</v>
      </c>
      <c r="T85" s="62">
        <f t="shared" ca="1" si="98"/>
        <v>0</v>
      </c>
    </row>
    <row r="86" spans="1:20" ht="15" customHeight="1" x14ac:dyDescent="0.2">
      <c r="A86" s="285">
        <f t="shared" si="94"/>
        <v>0</v>
      </c>
      <c r="B86" s="286"/>
      <c r="C86" s="287"/>
      <c r="D86" s="250">
        <f t="shared" ca="1" si="91"/>
        <v>0</v>
      </c>
      <c r="E86" s="78">
        <f t="shared" ref="E86:T86" ca="1" si="99">E62-E74</f>
        <v>0</v>
      </c>
      <c r="F86" s="63">
        <f t="shared" ca="1" si="99"/>
        <v>0</v>
      </c>
      <c r="G86" s="63">
        <f t="shared" ca="1" si="99"/>
        <v>0</v>
      </c>
      <c r="H86" s="63">
        <f t="shared" ca="1" si="99"/>
        <v>0</v>
      </c>
      <c r="I86" s="63">
        <f t="shared" ca="1" si="99"/>
        <v>0</v>
      </c>
      <c r="J86" s="63">
        <f t="shared" ca="1" si="99"/>
        <v>0</v>
      </c>
      <c r="K86" s="63">
        <f t="shared" ca="1" si="99"/>
        <v>0</v>
      </c>
      <c r="L86" s="63">
        <f t="shared" ca="1" si="99"/>
        <v>0</v>
      </c>
      <c r="M86" s="63">
        <f t="shared" ca="1" si="99"/>
        <v>0</v>
      </c>
      <c r="N86" s="63">
        <f t="shared" ca="1" si="99"/>
        <v>0</v>
      </c>
      <c r="O86" s="63">
        <f t="shared" ca="1" si="99"/>
        <v>0</v>
      </c>
      <c r="P86" s="64">
        <f t="shared" ca="1" si="99"/>
        <v>0</v>
      </c>
      <c r="Q86" s="62">
        <f t="shared" ca="1" si="99"/>
        <v>0</v>
      </c>
      <c r="R86" s="62">
        <f t="shared" ca="1" si="99"/>
        <v>0</v>
      </c>
      <c r="S86" s="62">
        <f t="shared" ca="1" si="99"/>
        <v>0</v>
      </c>
      <c r="T86" s="62">
        <f t="shared" ca="1" si="99"/>
        <v>0</v>
      </c>
    </row>
    <row r="87" spans="1:20" ht="15" customHeight="1" x14ac:dyDescent="0.2">
      <c r="A87" s="285">
        <f t="shared" si="94"/>
        <v>0</v>
      </c>
      <c r="B87" s="286"/>
      <c r="C87" s="287"/>
      <c r="D87" s="250">
        <f t="shared" ca="1" si="91"/>
        <v>0</v>
      </c>
      <c r="E87" s="78">
        <f t="shared" ref="E87:T87" ca="1" si="100">E63-E75</f>
        <v>0</v>
      </c>
      <c r="F87" s="63">
        <f t="shared" ca="1" si="100"/>
        <v>0</v>
      </c>
      <c r="G87" s="63">
        <f t="shared" ca="1" si="100"/>
        <v>0</v>
      </c>
      <c r="H87" s="63">
        <f t="shared" ca="1" si="100"/>
        <v>0</v>
      </c>
      <c r="I87" s="63">
        <f t="shared" ca="1" si="100"/>
        <v>0</v>
      </c>
      <c r="J87" s="63">
        <f t="shared" ca="1" si="100"/>
        <v>0</v>
      </c>
      <c r="K87" s="63">
        <f t="shared" ca="1" si="100"/>
        <v>0</v>
      </c>
      <c r="L87" s="63">
        <f t="shared" ca="1" si="100"/>
        <v>0</v>
      </c>
      <c r="M87" s="63">
        <f t="shared" ca="1" si="100"/>
        <v>0</v>
      </c>
      <c r="N87" s="63">
        <f t="shared" ca="1" si="100"/>
        <v>0</v>
      </c>
      <c r="O87" s="63">
        <f t="shared" ca="1" si="100"/>
        <v>0</v>
      </c>
      <c r="P87" s="64">
        <f t="shared" ca="1" si="100"/>
        <v>0</v>
      </c>
      <c r="Q87" s="62">
        <f t="shared" ca="1" si="100"/>
        <v>0</v>
      </c>
      <c r="R87" s="62">
        <f t="shared" ca="1" si="100"/>
        <v>0</v>
      </c>
      <c r="S87" s="62">
        <f t="shared" ca="1" si="100"/>
        <v>0</v>
      </c>
      <c r="T87" s="62">
        <f t="shared" ca="1" si="100"/>
        <v>0</v>
      </c>
    </row>
    <row r="88" spans="1:20" ht="15" customHeight="1" x14ac:dyDescent="0.2">
      <c r="A88" s="285">
        <f>A17</f>
        <v>0</v>
      </c>
      <c r="B88" s="286"/>
      <c r="C88" s="287"/>
      <c r="D88" s="250">
        <f t="shared" ca="1" si="91"/>
        <v>0</v>
      </c>
      <c r="E88" s="78">
        <f t="shared" ref="E88:T88" ca="1" si="101">E64-E76</f>
        <v>0</v>
      </c>
      <c r="F88" s="63">
        <f t="shared" ca="1" si="101"/>
        <v>0</v>
      </c>
      <c r="G88" s="63">
        <f t="shared" ca="1" si="101"/>
        <v>0</v>
      </c>
      <c r="H88" s="63">
        <f t="shared" ca="1" si="101"/>
        <v>0</v>
      </c>
      <c r="I88" s="63">
        <f t="shared" ca="1" si="101"/>
        <v>0</v>
      </c>
      <c r="J88" s="63">
        <f t="shared" ca="1" si="101"/>
        <v>0</v>
      </c>
      <c r="K88" s="63">
        <f t="shared" ca="1" si="101"/>
        <v>0</v>
      </c>
      <c r="L88" s="63">
        <f t="shared" ca="1" si="101"/>
        <v>0</v>
      </c>
      <c r="M88" s="63">
        <f t="shared" ca="1" si="101"/>
        <v>0</v>
      </c>
      <c r="N88" s="63">
        <f t="shared" ca="1" si="101"/>
        <v>0</v>
      </c>
      <c r="O88" s="63">
        <f t="shared" ca="1" si="101"/>
        <v>0</v>
      </c>
      <c r="P88" s="64">
        <f t="shared" ca="1" si="101"/>
        <v>0</v>
      </c>
      <c r="Q88" s="62">
        <f t="shared" ca="1" si="101"/>
        <v>0</v>
      </c>
      <c r="R88" s="62">
        <f t="shared" ca="1" si="101"/>
        <v>0</v>
      </c>
      <c r="S88" s="62">
        <f t="shared" ca="1" si="101"/>
        <v>0</v>
      </c>
      <c r="T88" s="62">
        <f t="shared" ca="1" si="101"/>
        <v>0</v>
      </c>
    </row>
    <row r="89" spans="1:20" ht="15" customHeight="1" x14ac:dyDescent="0.2">
      <c r="A89" s="285">
        <f>A18</f>
        <v>0</v>
      </c>
      <c r="B89" s="286"/>
      <c r="C89" s="287"/>
      <c r="D89" s="250">
        <f t="shared" ca="1" si="91"/>
        <v>0</v>
      </c>
      <c r="E89" s="78">
        <f t="shared" ref="E89:T89" ca="1" si="102">E65-E77</f>
        <v>0</v>
      </c>
      <c r="F89" s="63">
        <f t="shared" ca="1" si="102"/>
        <v>0</v>
      </c>
      <c r="G89" s="63">
        <f t="shared" ca="1" si="102"/>
        <v>0</v>
      </c>
      <c r="H89" s="63">
        <f t="shared" ca="1" si="102"/>
        <v>0</v>
      </c>
      <c r="I89" s="63">
        <f t="shared" ca="1" si="102"/>
        <v>0</v>
      </c>
      <c r="J89" s="63">
        <f t="shared" ca="1" si="102"/>
        <v>0</v>
      </c>
      <c r="K89" s="63">
        <f t="shared" ca="1" si="102"/>
        <v>0</v>
      </c>
      <c r="L89" s="63">
        <f t="shared" ca="1" si="102"/>
        <v>0</v>
      </c>
      <c r="M89" s="63">
        <f t="shared" ca="1" si="102"/>
        <v>0</v>
      </c>
      <c r="N89" s="63">
        <f t="shared" ca="1" si="102"/>
        <v>0</v>
      </c>
      <c r="O89" s="63">
        <f t="shared" ca="1" si="102"/>
        <v>0</v>
      </c>
      <c r="P89" s="64">
        <f t="shared" ca="1" si="102"/>
        <v>0</v>
      </c>
      <c r="Q89" s="62">
        <f t="shared" ca="1" si="102"/>
        <v>0</v>
      </c>
      <c r="R89" s="62">
        <f t="shared" ca="1" si="102"/>
        <v>0</v>
      </c>
      <c r="S89" s="62">
        <f t="shared" ca="1" si="102"/>
        <v>0</v>
      </c>
      <c r="T89" s="62">
        <f t="shared" ca="1" si="102"/>
        <v>0</v>
      </c>
    </row>
    <row r="90" spans="1:20" ht="15" customHeight="1" thickBot="1" x14ac:dyDescent="0.25">
      <c r="A90" s="299" t="s">
        <v>66</v>
      </c>
      <c r="B90" s="300"/>
      <c r="C90" s="301"/>
      <c r="D90" s="256">
        <f t="shared" ca="1" si="91"/>
        <v>0.5</v>
      </c>
      <c r="E90" s="188">
        <f ca="1">SUM(E80:E89)</f>
        <v>0</v>
      </c>
      <c r="F90" s="189">
        <f t="shared" ref="F90:O90" ca="1" si="103">SUM(F80:F89)</f>
        <v>0</v>
      </c>
      <c r="G90" s="189">
        <f t="shared" ca="1" si="103"/>
        <v>0</v>
      </c>
      <c r="H90" s="189">
        <f t="shared" ca="1" si="103"/>
        <v>0</v>
      </c>
      <c r="I90" s="189">
        <f t="shared" ca="1" si="103"/>
        <v>0</v>
      </c>
      <c r="J90" s="189">
        <f t="shared" ca="1" si="103"/>
        <v>0</v>
      </c>
      <c r="K90" s="189">
        <f ca="1">SUM(K80:K89)</f>
        <v>0</v>
      </c>
      <c r="L90" s="189">
        <f t="shared" ca="1" si="103"/>
        <v>0</v>
      </c>
      <c r="M90" s="189">
        <f t="shared" ca="1" si="103"/>
        <v>0</v>
      </c>
      <c r="N90" s="189">
        <f t="shared" ca="1" si="103"/>
        <v>0</v>
      </c>
      <c r="O90" s="189">
        <f t="shared" ca="1" si="103"/>
        <v>0</v>
      </c>
      <c r="P90" s="190">
        <f ca="1">SUM(P80:P89)</f>
        <v>0</v>
      </c>
      <c r="Q90" s="191">
        <f ca="1">SUM(E90:P90)</f>
        <v>0</v>
      </c>
      <c r="R90" s="191">
        <f ca="1">SUM(R80:R89)</f>
        <v>70800</v>
      </c>
      <c r="S90" s="191">
        <f ca="1">SUM(S80:S89)</f>
        <v>141600</v>
      </c>
      <c r="T90" s="191">
        <f ca="1">SUM(T80:T89)</f>
        <v>212400</v>
      </c>
    </row>
    <row r="91" spans="1:20" ht="15" customHeight="1" x14ac:dyDescent="0.2">
      <c r="Q91" s="282">
        <f t="array" aca="1" ref="Q91" ca="1">IF(Q78=0,0,SUM(Q68:Q77*$C68:$C77)/Q78)</f>
        <v>0</v>
      </c>
      <c r="R91" s="283">
        <f t="array" aca="1" ref="R91" ca="1">IF(R78=0,0,SUM(R68:R77*$C68:$C77)/R78)</f>
        <v>0</v>
      </c>
      <c r="S91" s="283">
        <f t="array" aca="1" ref="S91" ca="1">IF(S78=0,0,SUM(S68:S77*$C68:$C77)/S78)</f>
        <v>0</v>
      </c>
      <c r="T91" s="283">
        <f t="array" aca="1" ref="T91" ca="1">IF(T78=0,0,SUM(T68:T77*$C68:$C77)/T78)</f>
        <v>0</v>
      </c>
    </row>
    <row r="92" spans="1:20" ht="15" customHeight="1" x14ac:dyDescent="0.2"/>
    <row r="93" spans="1:20" ht="15" customHeight="1" x14ac:dyDescent="0.2"/>
    <row r="94" spans="1:20" ht="15" customHeight="1" x14ac:dyDescent="0.2"/>
    <row r="95" spans="1:20" ht="15" customHeight="1" x14ac:dyDescent="0.2"/>
    <row r="96" spans="1:20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</sheetData>
  <sheetProtection algorithmName="SHA-512" hashValue="5UD8k7Pah3mFmW/AVJq8NDAC7c4PJCV8l6v5e75MPx0+kNUyym1tnhxlyxBuGtW4LLJPUTkBk6zxeqIgMLtIWg==" saltValue="bHu/mH0TESuR/ISyYm/3Vw==" spinCount="100000" sheet="1" objects="1" scenarios="1"/>
  <mergeCells count="73">
    <mergeCell ref="A90:C90"/>
    <mergeCell ref="A19:C19"/>
    <mergeCell ref="A80:C80"/>
    <mergeCell ref="A81:C81"/>
    <mergeCell ref="A88:C88"/>
    <mergeCell ref="A89:C89"/>
    <mergeCell ref="A67:C67"/>
    <mergeCell ref="A42:C42"/>
    <mergeCell ref="A29:C29"/>
    <mergeCell ref="A32:C32"/>
    <mergeCell ref="A79:C79"/>
    <mergeCell ref="A30:C30"/>
    <mergeCell ref="A54:B54"/>
    <mergeCell ref="A45:B45"/>
    <mergeCell ref="A52:B52"/>
    <mergeCell ref="A41:C41"/>
    <mergeCell ref="A7:B7"/>
    <mergeCell ref="A20:C20"/>
    <mergeCell ref="A21:C21"/>
    <mergeCell ref="A28:C28"/>
    <mergeCell ref="A9:B9"/>
    <mergeCell ref="A8:C8"/>
    <mergeCell ref="A10:B10"/>
    <mergeCell ref="A17:B17"/>
    <mergeCell ref="A18:B18"/>
    <mergeCell ref="A11:B11"/>
    <mergeCell ref="A12:B12"/>
    <mergeCell ref="A13:B13"/>
    <mergeCell ref="A14:B14"/>
    <mergeCell ref="A15:B15"/>
    <mergeCell ref="A16:B16"/>
    <mergeCell ref="A22:C22"/>
    <mergeCell ref="A31:C31"/>
    <mergeCell ref="A66:C66"/>
    <mergeCell ref="A57:C57"/>
    <mergeCell ref="A64:C64"/>
    <mergeCell ref="A65:C65"/>
    <mergeCell ref="A55:C55"/>
    <mergeCell ref="A56:C56"/>
    <mergeCell ref="A33:C33"/>
    <mergeCell ref="A40:C40"/>
    <mergeCell ref="A43:C43"/>
    <mergeCell ref="A34:C34"/>
    <mergeCell ref="A35:C35"/>
    <mergeCell ref="A36:C36"/>
    <mergeCell ref="A37:C37"/>
    <mergeCell ref="A38:C38"/>
    <mergeCell ref="A39:C39"/>
    <mergeCell ref="A23:C23"/>
    <mergeCell ref="A24:C24"/>
    <mergeCell ref="A25:C25"/>
    <mergeCell ref="A26:C26"/>
    <mergeCell ref="A27:C27"/>
    <mergeCell ref="A46:B46"/>
    <mergeCell ref="A47:B47"/>
    <mergeCell ref="A48:B48"/>
    <mergeCell ref="A44:B44"/>
    <mergeCell ref="A49:B49"/>
    <mergeCell ref="A50:B50"/>
    <mergeCell ref="A51:B51"/>
    <mergeCell ref="A58:C58"/>
    <mergeCell ref="A59:C59"/>
    <mergeCell ref="A53:B53"/>
    <mergeCell ref="A60:C60"/>
    <mergeCell ref="A61:C61"/>
    <mergeCell ref="A62:C62"/>
    <mergeCell ref="A63:C63"/>
    <mergeCell ref="A82:C82"/>
    <mergeCell ref="A83:C83"/>
    <mergeCell ref="A84:C84"/>
    <mergeCell ref="A85:C85"/>
    <mergeCell ref="A86:C86"/>
    <mergeCell ref="A87:C87"/>
  </mergeCells>
  <conditionalFormatting sqref="B68:D77">
    <cfRule type="expression" dxfId="177" priority="3">
      <formula>AND(FÜ=0,Leer=FALSE)</formula>
    </cfRule>
  </conditionalFormatting>
  <conditionalFormatting sqref="C9:P18">
    <cfRule type="expression" dxfId="176" priority="9">
      <formula>AND(FÜ=0,Leer=FALSE)</formula>
    </cfRule>
  </conditionalFormatting>
  <conditionalFormatting sqref="D20:P29">
    <cfRule type="expression" dxfId="175" priority="6">
      <formula>AND(FÜ=0,Leer=FALSE)</formula>
    </cfRule>
  </conditionalFormatting>
  <conditionalFormatting sqref="E7">
    <cfRule type="expression" dxfId="174" priority="107" stopIfTrue="1">
      <formula>$A$2&gt;1</formula>
    </cfRule>
  </conditionalFormatting>
  <conditionalFormatting sqref="E9:E18">
    <cfRule type="expression" dxfId="173" priority="95" stopIfTrue="1">
      <formula>$A$2&gt;1</formula>
    </cfRule>
  </conditionalFormatting>
  <conditionalFormatting sqref="E20:E30">
    <cfRule type="expression" dxfId="172" priority="83" stopIfTrue="1">
      <formula>$A$2&gt;1</formula>
    </cfRule>
  </conditionalFormatting>
  <conditionalFormatting sqref="E32:E42">
    <cfRule type="expression" dxfId="171" priority="71" stopIfTrue="1">
      <formula>$A$2&gt;1</formula>
    </cfRule>
  </conditionalFormatting>
  <conditionalFormatting sqref="E44:E54">
    <cfRule type="expression" dxfId="170" priority="59" stopIfTrue="1">
      <formula>$A$2&gt;1</formula>
    </cfRule>
  </conditionalFormatting>
  <conditionalFormatting sqref="E56:E66">
    <cfRule type="expression" dxfId="169" priority="47" stopIfTrue="1">
      <formula>$A$2&gt;1</formula>
    </cfRule>
  </conditionalFormatting>
  <conditionalFormatting sqref="E68:E78">
    <cfRule type="expression" dxfId="168" priority="35" stopIfTrue="1">
      <formula>$A$2&gt;1</formula>
    </cfRule>
  </conditionalFormatting>
  <conditionalFormatting sqref="E80:E90">
    <cfRule type="expression" dxfId="167" priority="23" stopIfTrue="1">
      <formula>$A$2&gt;1</formula>
    </cfRule>
  </conditionalFormatting>
  <conditionalFormatting sqref="E68:P77">
    <cfRule type="expression" dxfId="166" priority="10">
      <formula>AND(WES=0,SUM($E68:E68)/SUM($E56:E56)&lt;$B68)</formula>
    </cfRule>
    <cfRule type="expression" dxfId="165" priority="11">
      <formula>AND(FÜ=0,Leer=FALSE)</formula>
    </cfRule>
  </conditionalFormatting>
  <conditionalFormatting sqref="F7">
    <cfRule type="expression" dxfId="164" priority="106" stopIfTrue="1">
      <formula>$A$2&gt;2</formula>
    </cfRule>
  </conditionalFormatting>
  <conditionalFormatting sqref="F9:F18">
    <cfRule type="expression" dxfId="163" priority="94" stopIfTrue="1">
      <formula>$A$2&gt;2</formula>
    </cfRule>
  </conditionalFormatting>
  <conditionalFormatting sqref="F20:F30">
    <cfRule type="expression" dxfId="162" priority="82" stopIfTrue="1">
      <formula>$A$2&gt;2</formula>
    </cfRule>
  </conditionalFormatting>
  <conditionalFormatting sqref="F32:F42">
    <cfRule type="expression" dxfId="161" priority="70" stopIfTrue="1">
      <formula>$A$2&gt;2</formula>
    </cfRule>
  </conditionalFormatting>
  <conditionalFormatting sqref="F44:F54">
    <cfRule type="expression" dxfId="160" priority="58" stopIfTrue="1">
      <formula>$A$2&gt;2</formula>
    </cfRule>
  </conditionalFormatting>
  <conditionalFormatting sqref="F56:F66">
    <cfRule type="expression" dxfId="159" priority="46" stopIfTrue="1">
      <formula>$A$2&gt;2</formula>
    </cfRule>
  </conditionalFormatting>
  <conditionalFormatting sqref="F68:F78">
    <cfRule type="expression" dxfId="158" priority="34" stopIfTrue="1">
      <formula>$A$2&gt;2</formula>
    </cfRule>
  </conditionalFormatting>
  <conditionalFormatting sqref="F80:F90">
    <cfRule type="expression" dxfId="157" priority="22" stopIfTrue="1">
      <formula>$A$2&gt;2</formula>
    </cfRule>
  </conditionalFormatting>
  <conditionalFormatting sqref="G7">
    <cfRule type="expression" dxfId="156" priority="105" stopIfTrue="1">
      <formula>$A$2&gt;3</formula>
    </cfRule>
  </conditionalFormatting>
  <conditionalFormatting sqref="G9:G18">
    <cfRule type="expression" dxfId="155" priority="93" stopIfTrue="1">
      <formula>$A$2&gt;3</formula>
    </cfRule>
  </conditionalFormatting>
  <conditionalFormatting sqref="G20:G30">
    <cfRule type="expression" dxfId="154" priority="81" stopIfTrue="1">
      <formula>$A$2&gt;3</formula>
    </cfRule>
  </conditionalFormatting>
  <conditionalFormatting sqref="G32:G42">
    <cfRule type="expression" dxfId="153" priority="69" stopIfTrue="1">
      <formula>$A$2&gt;3</formula>
    </cfRule>
  </conditionalFormatting>
  <conditionalFormatting sqref="G44:G54">
    <cfRule type="expression" dxfId="152" priority="57" stopIfTrue="1">
      <formula>$A$2&gt;3</formula>
    </cfRule>
  </conditionalFormatting>
  <conditionalFormatting sqref="G56:G66">
    <cfRule type="expression" dxfId="151" priority="45" stopIfTrue="1">
      <formula>$A$2&gt;3</formula>
    </cfRule>
  </conditionalFormatting>
  <conditionalFormatting sqref="G68:G78">
    <cfRule type="expression" dxfId="150" priority="33" stopIfTrue="1">
      <formula>$A$2&gt;3</formula>
    </cfRule>
  </conditionalFormatting>
  <conditionalFormatting sqref="G80:G90">
    <cfRule type="expression" dxfId="149" priority="21" stopIfTrue="1">
      <formula>$A$2&gt;3</formula>
    </cfRule>
  </conditionalFormatting>
  <conditionalFormatting sqref="H7">
    <cfRule type="expression" dxfId="148" priority="104" stopIfTrue="1">
      <formula>$A$2&gt;4</formula>
    </cfRule>
  </conditionalFormatting>
  <conditionalFormatting sqref="H9:H18">
    <cfRule type="expression" dxfId="147" priority="92" stopIfTrue="1">
      <formula>$A$2&gt;4</formula>
    </cfRule>
  </conditionalFormatting>
  <conditionalFormatting sqref="H20:H30">
    <cfRule type="expression" dxfId="146" priority="80" stopIfTrue="1">
      <formula>$A$2&gt;4</formula>
    </cfRule>
  </conditionalFormatting>
  <conditionalFormatting sqref="H32:H42">
    <cfRule type="expression" dxfId="145" priority="68" stopIfTrue="1">
      <formula>$A$2&gt;4</formula>
    </cfRule>
  </conditionalFormatting>
  <conditionalFormatting sqref="H44:H54">
    <cfRule type="expression" dxfId="144" priority="56" stopIfTrue="1">
      <formula>$A$2&gt;4</formula>
    </cfRule>
  </conditionalFormatting>
  <conditionalFormatting sqref="H56:H66">
    <cfRule type="expression" dxfId="143" priority="44" stopIfTrue="1">
      <formula>$A$2&gt;4</formula>
    </cfRule>
  </conditionalFormatting>
  <conditionalFormatting sqref="H68:H78">
    <cfRule type="expression" dxfId="142" priority="32" stopIfTrue="1">
      <formula>$A$2&gt;4</formula>
    </cfRule>
  </conditionalFormatting>
  <conditionalFormatting sqref="H80:H90">
    <cfRule type="expression" dxfId="141" priority="20" stopIfTrue="1">
      <formula>$A$2&gt;4</formula>
    </cfRule>
  </conditionalFormatting>
  <conditionalFormatting sqref="I7">
    <cfRule type="expression" dxfId="140" priority="103" stopIfTrue="1">
      <formula>$A$2&gt;5</formula>
    </cfRule>
  </conditionalFormatting>
  <conditionalFormatting sqref="I9:I18">
    <cfRule type="expression" dxfId="139" priority="91" stopIfTrue="1">
      <formula>$A$2&gt;5</formula>
    </cfRule>
  </conditionalFormatting>
  <conditionalFormatting sqref="I20:I30">
    <cfRule type="expression" dxfId="138" priority="79" stopIfTrue="1">
      <formula>$A$2&gt;5</formula>
    </cfRule>
  </conditionalFormatting>
  <conditionalFormatting sqref="I32:I42">
    <cfRule type="expression" dxfId="137" priority="67" stopIfTrue="1">
      <formula>$A$2&gt;5</formula>
    </cfRule>
  </conditionalFormatting>
  <conditionalFormatting sqref="I44:I54">
    <cfRule type="expression" dxfId="136" priority="55" stopIfTrue="1">
      <formula>$A$2&gt;5</formula>
    </cfRule>
  </conditionalFormatting>
  <conditionalFormatting sqref="I56:I66">
    <cfRule type="expression" dxfId="135" priority="43" stopIfTrue="1">
      <formula>$A$2&gt;5</formula>
    </cfRule>
  </conditionalFormatting>
  <conditionalFormatting sqref="I68:I78">
    <cfRule type="expression" dxfId="134" priority="31" stopIfTrue="1">
      <formula>$A$2&gt;5</formula>
    </cfRule>
  </conditionalFormatting>
  <conditionalFormatting sqref="I80:I90">
    <cfRule type="expression" dxfId="133" priority="19" stopIfTrue="1">
      <formula>$A$2&gt;5</formula>
    </cfRule>
  </conditionalFormatting>
  <conditionalFormatting sqref="J7">
    <cfRule type="expression" dxfId="132" priority="102" stopIfTrue="1">
      <formula>$A$2&gt;6</formula>
    </cfRule>
  </conditionalFormatting>
  <conditionalFormatting sqref="J9:J18">
    <cfRule type="expression" dxfId="131" priority="90" stopIfTrue="1">
      <formula>$A$2&gt;6</formula>
    </cfRule>
  </conditionalFormatting>
  <conditionalFormatting sqref="J20:J30">
    <cfRule type="expression" dxfId="130" priority="78" stopIfTrue="1">
      <formula>$A$2&gt;6</formula>
    </cfRule>
  </conditionalFormatting>
  <conditionalFormatting sqref="J32:J42">
    <cfRule type="expression" dxfId="129" priority="66" stopIfTrue="1">
      <formula>$A$2&gt;6</formula>
    </cfRule>
  </conditionalFormatting>
  <conditionalFormatting sqref="J44:J54">
    <cfRule type="expression" dxfId="128" priority="54" stopIfTrue="1">
      <formula>$A$2&gt;6</formula>
    </cfRule>
  </conditionalFormatting>
  <conditionalFormatting sqref="J56:J66">
    <cfRule type="expression" dxfId="127" priority="42" stopIfTrue="1">
      <formula>$A$2&gt;6</formula>
    </cfRule>
  </conditionalFormatting>
  <conditionalFormatting sqref="J68:J78">
    <cfRule type="expression" dxfId="126" priority="30" stopIfTrue="1">
      <formula>$A$2&gt;6</formula>
    </cfRule>
  </conditionalFormatting>
  <conditionalFormatting sqref="J80:J90">
    <cfRule type="expression" dxfId="125" priority="18" stopIfTrue="1">
      <formula>$A$2&gt;6</formula>
    </cfRule>
  </conditionalFormatting>
  <conditionalFormatting sqref="K7">
    <cfRule type="expression" dxfId="124" priority="101" stopIfTrue="1">
      <formula>$A$2&gt;7</formula>
    </cfRule>
  </conditionalFormatting>
  <conditionalFormatting sqref="K9:K18">
    <cfRule type="expression" dxfId="123" priority="89" stopIfTrue="1">
      <formula>$A$2&gt;7</formula>
    </cfRule>
  </conditionalFormatting>
  <conditionalFormatting sqref="K20:K30">
    <cfRule type="expression" dxfId="122" priority="77" stopIfTrue="1">
      <formula>$A$2&gt;7</formula>
    </cfRule>
  </conditionalFormatting>
  <conditionalFormatting sqref="K32:K42">
    <cfRule type="expression" dxfId="121" priority="65" stopIfTrue="1">
      <formula>$A$2&gt;7</formula>
    </cfRule>
  </conditionalFormatting>
  <conditionalFormatting sqref="K44:K54">
    <cfRule type="expression" dxfId="120" priority="53" stopIfTrue="1">
      <formula>$A$2&gt;7</formula>
    </cfRule>
  </conditionalFormatting>
  <conditionalFormatting sqref="K56:K66">
    <cfRule type="expression" dxfId="119" priority="41" stopIfTrue="1">
      <formula>$A$2&gt;7</formula>
    </cfRule>
  </conditionalFormatting>
  <conditionalFormatting sqref="K68:K78">
    <cfRule type="expression" dxfId="118" priority="29" stopIfTrue="1">
      <formula>$A$2&gt;7</formula>
    </cfRule>
  </conditionalFormatting>
  <conditionalFormatting sqref="K80:K90">
    <cfRule type="expression" dxfId="117" priority="17" stopIfTrue="1">
      <formula>$A$2&gt;7</formula>
    </cfRule>
  </conditionalFormatting>
  <conditionalFormatting sqref="L7">
    <cfRule type="expression" dxfId="116" priority="100" stopIfTrue="1">
      <formula>$A$2&gt;8</formula>
    </cfRule>
  </conditionalFormatting>
  <conditionalFormatting sqref="L9:L18">
    <cfRule type="expression" dxfId="115" priority="88" stopIfTrue="1">
      <formula>$A$2&gt;8</formula>
    </cfRule>
  </conditionalFormatting>
  <conditionalFormatting sqref="L20:L30">
    <cfRule type="expression" dxfId="114" priority="76" stopIfTrue="1">
      <formula>$A$2&gt;8</formula>
    </cfRule>
  </conditionalFormatting>
  <conditionalFormatting sqref="L32:L42">
    <cfRule type="expression" dxfId="113" priority="64" stopIfTrue="1">
      <formula>$A$2&gt;8</formula>
    </cfRule>
  </conditionalFormatting>
  <conditionalFormatting sqref="L44:L54">
    <cfRule type="expression" dxfId="112" priority="52" stopIfTrue="1">
      <formula>$A$2&gt;8</formula>
    </cfRule>
  </conditionalFormatting>
  <conditionalFormatting sqref="L56:L66">
    <cfRule type="expression" dxfId="111" priority="40" stopIfTrue="1">
      <formula>$A$2&gt;8</formula>
    </cfRule>
  </conditionalFormatting>
  <conditionalFormatting sqref="L68:L78">
    <cfRule type="expression" dxfId="110" priority="28" stopIfTrue="1">
      <formula>$A$2&gt;8</formula>
    </cfRule>
  </conditionalFormatting>
  <conditionalFormatting sqref="L80:L90">
    <cfRule type="expression" dxfId="109" priority="16" stopIfTrue="1">
      <formula>$A$2&gt;8</formula>
    </cfRule>
  </conditionalFormatting>
  <conditionalFormatting sqref="M7">
    <cfRule type="expression" dxfId="108" priority="99" stopIfTrue="1">
      <formula>$A$2&gt;9</formula>
    </cfRule>
  </conditionalFormatting>
  <conditionalFormatting sqref="M9:M18">
    <cfRule type="expression" dxfId="107" priority="87" stopIfTrue="1">
      <formula>$A$2&gt;9</formula>
    </cfRule>
  </conditionalFormatting>
  <conditionalFormatting sqref="M20:M30">
    <cfRule type="expression" dxfId="106" priority="75" stopIfTrue="1">
      <formula>$A$2&gt;9</formula>
    </cfRule>
  </conditionalFormatting>
  <conditionalFormatting sqref="M32:M42">
    <cfRule type="expression" dxfId="105" priority="63" stopIfTrue="1">
      <formula>$A$2&gt;9</formula>
    </cfRule>
  </conditionalFormatting>
  <conditionalFormatting sqref="M44:M54">
    <cfRule type="expression" dxfId="104" priority="51" stopIfTrue="1">
      <formula>$A$2&gt;9</formula>
    </cfRule>
  </conditionalFormatting>
  <conditionalFormatting sqref="M56:M66">
    <cfRule type="expression" dxfId="103" priority="39" stopIfTrue="1">
      <formula>$A$2&gt;9</formula>
    </cfRule>
  </conditionalFormatting>
  <conditionalFormatting sqref="M68:M78">
    <cfRule type="expression" dxfId="102" priority="27" stopIfTrue="1">
      <formula>$A$2&gt;9</formula>
    </cfRule>
  </conditionalFormatting>
  <conditionalFormatting sqref="M80:M90">
    <cfRule type="expression" dxfId="101" priority="15" stopIfTrue="1">
      <formula>$A$2&gt;9</formula>
    </cfRule>
  </conditionalFormatting>
  <conditionalFormatting sqref="N7">
    <cfRule type="expression" dxfId="100" priority="98" stopIfTrue="1">
      <formula>$A$2&gt;10</formula>
    </cfRule>
  </conditionalFormatting>
  <conditionalFormatting sqref="N9:N18">
    <cfRule type="expression" dxfId="99" priority="86" stopIfTrue="1">
      <formula>$A$2&gt;10</formula>
    </cfRule>
  </conditionalFormatting>
  <conditionalFormatting sqref="N20:N30">
    <cfRule type="expression" dxfId="98" priority="74" stopIfTrue="1">
      <formula>$A$2&gt;10</formula>
    </cfRule>
  </conditionalFormatting>
  <conditionalFormatting sqref="N32:N42">
    <cfRule type="expression" dxfId="97" priority="62" stopIfTrue="1">
      <formula>$A$2&gt;10</formula>
    </cfRule>
  </conditionalFormatting>
  <conditionalFormatting sqref="N44:N54">
    <cfRule type="expression" dxfId="96" priority="50" stopIfTrue="1">
      <formula>$A$2&gt;10</formula>
    </cfRule>
  </conditionalFormatting>
  <conditionalFormatting sqref="N56:N66">
    <cfRule type="expression" dxfId="95" priority="38" stopIfTrue="1">
      <formula>$A$2&gt;10</formula>
    </cfRule>
  </conditionalFormatting>
  <conditionalFormatting sqref="N68:N78">
    <cfRule type="expression" dxfId="94" priority="26" stopIfTrue="1">
      <formula>$A$2&gt;10</formula>
    </cfRule>
  </conditionalFormatting>
  <conditionalFormatting sqref="N80:N90">
    <cfRule type="expression" dxfId="93" priority="14" stopIfTrue="1">
      <formula>$A$2&gt;10</formula>
    </cfRule>
  </conditionalFormatting>
  <conditionalFormatting sqref="O7">
    <cfRule type="expression" dxfId="92" priority="97" stopIfTrue="1">
      <formula>$A$2&gt;11</formula>
    </cfRule>
  </conditionalFormatting>
  <conditionalFormatting sqref="O9:O18">
    <cfRule type="expression" dxfId="91" priority="85" stopIfTrue="1">
      <formula>$A$2&gt;11</formula>
    </cfRule>
  </conditionalFormatting>
  <conditionalFormatting sqref="O20:O30">
    <cfRule type="expression" dxfId="90" priority="73" stopIfTrue="1">
      <formula>$A$2&gt;11</formula>
    </cfRule>
  </conditionalFormatting>
  <conditionalFormatting sqref="O32:O42">
    <cfRule type="expression" dxfId="89" priority="61" stopIfTrue="1">
      <formula>$A$2&gt;11</formula>
    </cfRule>
  </conditionalFormatting>
  <conditionalFormatting sqref="O44:O54">
    <cfRule type="expression" dxfId="88" priority="49" stopIfTrue="1">
      <formula>$A$2&gt;11</formula>
    </cfRule>
  </conditionalFormatting>
  <conditionalFormatting sqref="O56:O66">
    <cfRule type="expression" dxfId="87" priority="37" stopIfTrue="1">
      <formula>$A$2&gt;11</formula>
    </cfRule>
  </conditionalFormatting>
  <conditionalFormatting sqref="O68:O78">
    <cfRule type="expression" dxfId="86" priority="25" stopIfTrue="1">
      <formula>$A$2&gt;11</formula>
    </cfRule>
  </conditionalFormatting>
  <conditionalFormatting sqref="O80:O90">
    <cfRule type="expression" dxfId="85" priority="13" stopIfTrue="1">
      <formula>$A$2&gt;11</formula>
    </cfRule>
  </conditionalFormatting>
  <conditionalFormatting sqref="P7:P90">
    <cfRule type="expression" dxfId="84" priority="24" stopIfTrue="1">
      <formula>$A$2&gt;12</formula>
    </cfRule>
  </conditionalFormatting>
  <conditionalFormatting sqref="R8:T29">
    <cfRule type="expression" dxfId="83" priority="4">
      <formula>AND(FÜ=0,Leer=FALSE)</formula>
    </cfRule>
  </conditionalFormatting>
  <conditionalFormatting sqref="R68:T77">
    <cfRule type="expression" dxfId="82" priority="1">
      <formula>AND(WES=0,SUM($Q68:R68)/SUM($Q56:R56)&lt;$B68)</formula>
    </cfRule>
    <cfRule type="expression" dxfId="81" priority="2">
      <formula>AND(FÜ=0,Leer=FALSE)</formula>
    </cfRule>
  </conditionalFormatting>
  <pageMargins left="0.23622047244094491" right="0.23622047244094491" top="0.31496062992125984" bottom="1.0900000000000001" header="0.31496062992125984" footer="0.31496062992125984"/>
  <pageSetup paperSize="9" scale="62" fitToHeight="0" orientation="landscape" r:id="rId1"/>
  <headerFooter alignWithMargins="0">
    <oddFooter>&amp;L&amp;F&amp;CDiese Tabelle wurde mit Sorgfalt erstellt, dient aber lediglich als Arbeitshilfe.
Für Schäden, welche direkt oder indirekt aus deren Verwendung entstehen, wird keine Haftung übernommen!&amp;R&amp;D, 2/9   &amp;G</oddFooter>
  </headerFooter>
  <ignoredErrors>
    <ignoredError sqref="F17:P18 F9:M9 H10 J10:P10" unlockedFormula="1"/>
  </ignoredErrors>
  <drawing r:id="rId2"/>
  <legacyDrawing r:id="rId3"/>
  <legacyDrawingHF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pageSetUpPr fitToPage="1"/>
  </sheetPr>
  <dimension ref="A1:U61"/>
  <sheetViews>
    <sheetView tabSelected="1" zoomScale="115" zoomScaleNormal="115" zoomScalePageLayoutView="85" workbookViewId="0">
      <pane xSplit="4" ySplit="7" topLeftCell="F23" activePane="bottomRight" state="frozen"/>
      <selection pane="topRight" activeCell="E1" sqref="E1"/>
      <selection pane="bottomLeft" activeCell="A8" sqref="A8"/>
      <selection pane="bottomRight" activeCell="P37" sqref="P37"/>
    </sheetView>
  </sheetViews>
  <sheetFormatPr baseColWidth="10" defaultColWidth="11.42578125" defaultRowHeight="12.75" x14ac:dyDescent="0.2"/>
  <cols>
    <col min="1" max="1" width="29.140625" style="45" customWidth="1"/>
    <col min="2" max="2" width="6.85546875" style="45" customWidth="1"/>
    <col min="3" max="3" width="7.5703125" style="45" customWidth="1"/>
    <col min="4" max="4" width="10.140625" style="45" customWidth="1"/>
    <col min="5" max="16" width="10.85546875" style="94" customWidth="1"/>
    <col min="17" max="17" width="12.85546875" style="94" customWidth="1"/>
    <col min="18" max="20" width="12.85546875" style="45" customWidth="1"/>
    <col min="21" max="16384" width="11.42578125" style="45"/>
  </cols>
  <sheetData>
    <row r="1" spans="1:20" ht="6.75" customHeight="1" x14ac:dyDescent="0.2"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0" x14ac:dyDescent="0.2">
      <c r="A2" s="47">
        <f>Basisdaten!C10</f>
        <v>8</v>
      </c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</row>
    <row r="3" spans="1:20" ht="20.25" x14ac:dyDescent="0.2">
      <c r="A3" s="48" t="s">
        <v>85</v>
      </c>
      <c r="B3" s="49"/>
      <c r="C3" s="49"/>
      <c r="D3" s="49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</row>
    <row r="4" spans="1:20" ht="20.25" customHeight="1" x14ac:dyDescent="0.2">
      <c r="A4" s="48" t="str">
        <f>Basisdaten!C8</f>
        <v>ANAMNIC GmbH</v>
      </c>
      <c r="B4" s="49"/>
      <c r="C4" s="49"/>
      <c r="D4" s="49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</row>
    <row r="5" spans="1:20" ht="15" customHeight="1" x14ac:dyDescent="0.2">
      <c r="B5" s="50"/>
      <c r="C5" s="50"/>
      <c r="D5" s="50"/>
      <c r="E5" s="51"/>
      <c r="F5" s="52"/>
      <c r="G5" s="53"/>
      <c r="H5" s="54"/>
      <c r="I5" s="54"/>
      <c r="J5" s="54"/>
      <c r="K5" s="54"/>
      <c r="L5" s="54"/>
      <c r="M5" s="54"/>
      <c r="N5" s="54"/>
      <c r="O5" s="54"/>
      <c r="P5" s="54"/>
      <c r="Q5" s="55"/>
      <c r="R5" s="53"/>
      <c r="S5" s="53"/>
      <c r="T5" s="53"/>
    </row>
    <row r="6" spans="1:20" ht="15" customHeight="1" thickBot="1" x14ac:dyDescent="0.25">
      <c r="A6" s="56"/>
      <c r="B6" s="56"/>
      <c r="C6" s="56"/>
      <c r="D6" s="56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</row>
    <row r="7" spans="1:20" s="61" customFormat="1" ht="15" customHeight="1" thickBot="1" x14ac:dyDescent="0.25">
      <c r="A7" s="292" t="s">
        <v>43</v>
      </c>
      <c r="B7" s="293"/>
      <c r="C7" s="293"/>
      <c r="D7" s="178" t="str">
        <f>"Ø+/-/J"</f>
        <v>Ø+/-/J</v>
      </c>
      <c r="E7" s="261" t="str">
        <f>Absatzplan!E7</f>
        <v>Jän</v>
      </c>
      <c r="F7" s="58" t="str">
        <f>Absatzplan!F7</f>
        <v>Feb</v>
      </c>
      <c r="G7" s="58" t="str">
        <f>Absatzplan!G7</f>
        <v>Mär</v>
      </c>
      <c r="H7" s="58" t="str">
        <f>Absatzplan!H7</f>
        <v>Apr</v>
      </c>
      <c r="I7" s="58" t="str">
        <f>Absatzplan!I7</f>
        <v>Mai</v>
      </c>
      <c r="J7" s="58" t="str">
        <f>Absatzplan!J7</f>
        <v>Jun</v>
      </c>
      <c r="K7" s="58" t="str">
        <f>Absatzplan!K7</f>
        <v>Jul</v>
      </c>
      <c r="L7" s="58" t="str">
        <f>Absatzplan!L7</f>
        <v>Aug</v>
      </c>
      <c r="M7" s="58" t="str">
        <f>Absatzplan!M7</f>
        <v>Sep</v>
      </c>
      <c r="N7" s="58" t="str">
        <f>Absatzplan!N7</f>
        <v>Okt</v>
      </c>
      <c r="O7" s="58" t="str">
        <f>Absatzplan!O7</f>
        <v>Nov</v>
      </c>
      <c r="P7" s="59" t="str">
        <f>Absatzplan!P7</f>
        <v>Dez</v>
      </c>
      <c r="Q7" s="60">
        <f>Absatzplan!Q7</f>
        <v>2026</v>
      </c>
      <c r="R7" s="60">
        <f>Absatzplan!R7</f>
        <v>2027</v>
      </c>
      <c r="S7" s="60">
        <f>Absatzplan!S7</f>
        <v>2028</v>
      </c>
      <c r="T7" s="60">
        <f>Absatzplan!T7</f>
        <v>2029</v>
      </c>
    </row>
    <row r="8" spans="1:20" ht="15" customHeight="1" x14ac:dyDescent="0.2">
      <c r="A8" s="334" t="s">
        <v>11</v>
      </c>
      <c r="B8" s="335"/>
      <c r="C8" s="297"/>
      <c r="D8" s="257">
        <f t="shared" ref="D8:D10" si="0">(IF(Q8=0,0,IF(Q8&gt;0,1,-1)*(R8/(Q8/(COUNTIF(E8:P8,"&gt;0")+COUNTIF(E8:P8,"&lt;0"))*12)-1))+IF(R8=0,0,IF(R8&gt;0,1,-1)*(S8/R8-1))+IF(S8=0,0,IF(S8&gt;0,1,-1)*(T8/S8-1)))/3</f>
        <v>0.5</v>
      </c>
      <c r="E8" s="262">
        <f>Absatzplan!E42</f>
        <v>0</v>
      </c>
      <c r="F8" s="192">
        <f>Absatzplan!F42</f>
        <v>0</v>
      </c>
      <c r="G8" s="192">
        <f>Absatzplan!G42</f>
        <v>0</v>
      </c>
      <c r="H8" s="192">
        <f>Absatzplan!H42</f>
        <v>0</v>
      </c>
      <c r="I8" s="192">
        <f>Absatzplan!I42</f>
        <v>0</v>
      </c>
      <c r="J8" s="192">
        <f>Absatzplan!J42</f>
        <v>0</v>
      </c>
      <c r="K8" s="192">
        <f>Absatzplan!K42</f>
        <v>0</v>
      </c>
      <c r="L8" s="192">
        <f>Absatzplan!L42</f>
        <v>0</v>
      </c>
      <c r="M8" s="192">
        <f>Absatzplan!M42</f>
        <v>0</v>
      </c>
      <c r="N8" s="192">
        <f>Absatzplan!N42</f>
        <v>0</v>
      </c>
      <c r="O8" s="192">
        <f>Absatzplan!O42</f>
        <v>0</v>
      </c>
      <c r="P8" s="193">
        <f>Absatzplan!P42</f>
        <v>0</v>
      </c>
      <c r="Q8" s="194">
        <f>Absatzplan!Q42</f>
        <v>0</v>
      </c>
      <c r="R8" s="195">
        <f>Absatzplan!R42</f>
        <v>84960</v>
      </c>
      <c r="S8" s="195">
        <f>Absatzplan!S42</f>
        <v>169920</v>
      </c>
      <c r="T8" s="195">
        <f>Absatzplan!T42</f>
        <v>254880</v>
      </c>
    </row>
    <row r="9" spans="1:20" ht="15" customHeight="1" x14ac:dyDescent="0.2">
      <c r="A9" s="311" t="s">
        <v>59</v>
      </c>
      <c r="B9" s="286"/>
      <c r="C9" s="259">
        <f>Absatzplan!C54</f>
        <v>0.2</v>
      </c>
      <c r="D9" s="258">
        <f>ROUND((IF(Q9=0,0,IF(Q9&gt;0,1,-1)*(R9/(Q9/(COUNTIF(E9:P9,"&gt;0")+COUNTIF(E9:P9,"&lt;0"))*12)-1))+IF(R9=0,0,IF(R9&gt;0,1,-1)*(S9/R9-1))+IF(S9=0,0,IF(S9&gt;0,1,-1)*(T9/S9-1)))/3,2)</f>
        <v>0.5</v>
      </c>
      <c r="E9" s="77">
        <f>IF(Basisdaten!$C$12="JA",0,Absatzplan!E54)</f>
        <v>0</v>
      </c>
      <c r="F9" s="63">
        <f>IF(Basisdaten!$C$12="JA",0,Absatzplan!F54)</f>
        <v>0</v>
      </c>
      <c r="G9" s="63">
        <f>IF(Basisdaten!$C$12="JA",0,Absatzplan!G54)</f>
        <v>0</v>
      </c>
      <c r="H9" s="63">
        <f>IF(Basisdaten!$C$12="JA",0,Absatzplan!H54)</f>
        <v>0</v>
      </c>
      <c r="I9" s="63">
        <f>IF(Basisdaten!$C$12="JA",0,Absatzplan!I54)</f>
        <v>0</v>
      </c>
      <c r="J9" s="63">
        <f>IF(Basisdaten!$C$12="JA",0,Absatzplan!J54)</f>
        <v>0</v>
      </c>
      <c r="K9" s="63">
        <f>IF(Basisdaten!$C$12="JA",0,Absatzplan!K54)</f>
        <v>0</v>
      </c>
      <c r="L9" s="63">
        <f>IF(Basisdaten!$C$12="JA",0,Absatzplan!L54)</f>
        <v>0</v>
      </c>
      <c r="M9" s="63">
        <f>IF(Basisdaten!$C$12="JA",0,Absatzplan!M54)</f>
        <v>0</v>
      </c>
      <c r="N9" s="63">
        <f>IF(Basisdaten!$C$12="JA",0,Absatzplan!N54)</f>
        <v>0</v>
      </c>
      <c r="O9" s="63">
        <f>IF(Basisdaten!$C$12="JA",0,Absatzplan!O54)</f>
        <v>0</v>
      </c>
      <c r="P9" s="64">
        <f>IF(Basisdaten!$C$12="JA",0,Absatzplan!P54)</f>
        <v>0</v>
      </c>
      <c r="Q9" s="62">
        <f>SUM(E9:P9)</f>
        <v>0</v>
      </c>
      <c r="R9" s="62">
        <f>IF(Absatzplan!R42=Absatzplan!R66,0,Absatzplan!R54)</f>
        <v>14160</v>
      </c>
      <c r="S9" s="62">
        <f>IF(Absatzplan!S42=Absatzplan!S66,0,Absatzplan!S54)</f>
        <v>28320</v>
      </c>
      <c r="T9" s="62">
        <f>IF(Absatzplan!T42=Absatzplan!T66,0,Absatzplan!T54)</f>
        <v>42480</v>
      </c>
    </row>
    <row r="10" spans="1:20" ht="15" customHeight="1" x14ac:dyDescent="0.2">
      <c r="A10" s="336" t="s">
        <v>4</v>
      </c>
      <c r="B10" s="312"/>
      <c r="C10" s="286"/>
      <c r="D10" s="257">
        <f t="shared" si="0"/>
        <v>0.5</v>
      </c>
      <c r="E10" s="219">
        <f>E8-E9</f>
        <v>0</v>
      </c>
      <c r="F10" s="66">
        <f t="shared" ref="F10:P10" si="1">F8-F9</f>
        <v>0</v>
      </c>
      <c r="G10" s="66">
        <f t="shared" si="1"/>
        <v>0</v>
      </c>
      <c r="H10" s="66">
        <f t="shared" si="1"/>
        <v>0</v>
      </c>
      <c r="I10" s="66">
        <f t="shared" si="1"/>
        <v>0</v>
      </c>
      <c r="J10" s="66">
        <f t="shared" si="1"/>
        <v>0</v>
      </c>
      <c r="K10" s="66">
        <f t="shared" si="1"/>
        <v>0</v>
      </c>
      <c r="L10" s="66">
        <f t="shared" si="1"/>
        <v>0</v>
      </c>
      <c r="M10" s="66">
        <f t="shared" si="1"/>
        <v>0</v>
      </c>
      <c r="N10" s="66">
        <f t="shared" si="1"/>
        <v>0</v>
      </c>
      <c r="O10" s="66">
        <f t="shared" si="1"/>
        <v>0</v>
      </c>
      <c r="P10" s="67">
        <f t="shared" si="1"/>
        <v>0</v>
      </c>
      <c r="Q10" s="62">
        <f>Q8-Q9</f>
        <v>0</v>
      </c>
      <c r="R10" s="62">
        <f>R8-R9</f>
        <v>70800</v>
      </c>
      <c r="S10" s="62">
        <f>S8-S9</f>
        <v>141600</v>
      </c>
      <c r="T10" s="62">
        <f>T8-T9</f>
        <v>212400</v>
      </c>
    </row>
    <row r="11" spans="1:20" ht="15" customHeight="1" x14ac:dyDescent="0.2">
      <c r="A11" s="307" t="str">
        <f>"+/- Bestandsveränderungen"</f>
        <v>+/- Bestandsveränderungen</v>
      </c>
      <c r="B11" s="308"/>
      <c r="C11" s="286"/>
      <c r="D11" s="271">
        <f t="shared" ref="D11:D13" si="2">(IF(Q11=0,0,IF(Q11&gt;0,1,-1)*(R11/(Q11/(COUNTIF(E11:P11,"&gt;0")+COUNTIF(E11:P11,"&lt;0"))*12)-1))+IF(R11=0,0,IF(R11&gt;0,1,-1)*(S11/R11-1))+IF(S11=0,0,IF(S11&gt;0,1,-1)*(T11/S11-1)))/3</f>
        <v>0</v>
      </c>
      <c r="E11" s="263"/>
      <c r="F11" s="174">
        <f t="shared" ref="F11:P11" si="3">E11</f>
        <v>0</v>
      </c>
      <c r="G11" s="174">
        <f t="shared" si="3"/>
        <v>0</v>
      </c>
      <c r="H11" s="174">
        <f t="shared" si="3"/>
        <v>0</v>
      </c>
      <c r="I11" s="174">
        <f t="shared" si="3"/>
        <v>0</v>
      </c>
      <c r="J11" s="174">
        <f t="shared" si="3"/>
        <v>0</v>
      </c>
      <c r="K11" s="174">
        <f t="shared" si="3"/>
        <v>0</v>
      </c>
      <c r="L11" s="174">
        <f t="shared" si="3"/>
        <v>0</v>
      </c>
      <c r="M11" s="174">
        <f t="shared" si="3"/>
        <v>0</v>
      </c>
      <c r="N11" s="174">
        <f t="shared" si="3"/>
        <v>0</v>
      </c>
      <c r="O11" s="174">
        <f t="shared" si="3"/>
        <v>0</v>
      </c>
      <c r="P11" s="175">
        <f t="shared" si="3"/>
        <v>0</v>
      </c>
      <c r="Q11" s="62">
        <f>SUM(E11:P11)</f>
        <v>0</v>
      </c>
      <c r="R11" s="32">
        <f>SUM(INDEX(E11:P11,IF(Basisdaten!C$10=1,2,Basisdaten!C$10)):P11)/(13-IF(Basisdaten!C$10=1,2,Basisdaten!C$10))*12</f>
        <v>0</v>
      </c>
      <c r="S11" s="32">
        <f>R11</f>
        <v>0</v>
      </c>
      <c r="T11" s="32">
        <f>S11</f>
        <v>0</v>
      </c>
    </row>
    <row r="12" spans="1:20" ht="15" customHeight="1" x14ac:dyDescent="0.2">
      <c r="A12" s="184" t="str">
        <f>CONCATENATE("Waren-/Materialeinsatz ",IF(OR(Basisdaten!$C$12="NEIN",Q9&gt;0),"(netto)","(brutto)"))</f>
        <v>Waren-/Materialeinsatz (netto)</v>
      </c>
      <c r="B12" s="185">
        <f ca="1">Absatzplan!B78</f>
        <v>0</v>
      </c>
      <c r="C12" s="260">
        <f ca="1">Absatzplan!C78</f>
        <v>0</v>
      </c>
      <c r="D12" s="265">
        <f ca="1">ROUND((IF(Q12=0,0,IF(Q12&gt;0,1,-1)*(R12/(Q12/(COUNTIF(E12:P12,"&gt;0")+COUNTIF(E12:P12,"&lt;0"))*12)-1))+IF(R12=0,0,IF(R12&gt;0,1,-1)*(S12/R12-1))+IF(S12=0,0,IF(S12&gt;0,1,-1)*(T12/S12-1)))/3,2)</f>
        <v>0</v>
      </c>
      <c r="E12" s="78">
        <f ca="1">Absatzplan!E78</f>
        <v>0</v>
      </c>
      <c r="F12" s="63">
        <f ca="1">Absatzplan!F78</f>
        <v>0</v>
      </c>
      <c r="G12" s="63">
        <f ca="1">Absatzplan!G78</f>
        <v>0</v>
      </c>
      <c r="H12" s="63">
        <f ca="1">Absatzplan!H78</f>
        <v>0</v>
      </c>
      <c r="I12" s="63">
        <f ca="1">Absatzplan!I78</f>
        <v>0</v>
      </c>
      <c r="J12" s="63">
        <f ca="1">Absatzplan!J78</f>
        <v>0</v>
      </c>
      <c r="K12" s="63">
        <f ca="1">Absatzplan!K78</f>
        <v>0</v>
      </c>
      <c r="L12" s="63">
        <f ca="1">Absatzplan!L78</f>
        <v>0</v>
      </c>
      <c r="M12" s="63">
        <f ca="1">Absatzplan!M78</f>
        <v>0</v>
      </c>
      <c r="N12" s="63">
        <f ca="1">Absatzplan!N78</f>
        <v>0</v>
      </c>
      <c r="O12" s="63">
        <f ca="1">Absatzplan!O78</f>
        <v>0</v>
      </c>
      <c r="P12" s="64">
        <f ca="1">Absatzplan!P78</f>
        <v>0</v>
      </c>
      <c r="Q12" s="62">
        <f ca="1">Absatzplan!Q78</f>
        <v>0</v>
      </c>
      <c r="R12" s="62">
        <f ca="1">Absatzplan!R78</f>
        <v>0</v>
      </c>
      <c r="S12" s="62">
        <f ca="1">Absatzplan!S78</f>
        <v>0</v>
      </c>
      <c r="T12" s="62">
        <f ca="1">Absatzplan!T78</f>
        <v>0</v>
      </c>
    </row>
    <row r="13" spans="1:20" ht="15" customHeight="1" x14ac:dyDescent="0.2">
      <c r="A13" s="289" t="s">
        <v>88</v>
      </c>
      <c r="B13" s="312"/>
      <c r="C13" s="286"/>
      <c r="D13" s="257">
        <f t="shared" ca="1" si="2"/>
        <v>0.5</v>
      </c>
      <c r="E13" s="68">
        <f ca="1">E10+E11-E12</f>
        <v>0</v>
      </c>
      <c r="F13" s="69">
        <f t="shared" ref="F13:T13" ca="1" si="4">F10+F11-F12</f>
        <v>0</v>
      </c>
      <c r="G13" s="69">
        <f t="shared" ca="1" si="4"/>
        <v>0</v>
      </c>
      <c r="H13" s="69">
        <f t="shared" ca="1" si="4"/>
        <v>0</v>
      </c>
      <c r="I13" s="69">
        <f t="shared" ca="1" si="4"/>
        <v>0</v>
      </c>
      <c r="J13" s="69">
        <f t="shared" ca="1" si="4"/>
        <v>0</v>
      </c>
      <c r="K13" s="69">
        <f t="shared" ca="1" si="4"/>
        <v>0</v>
      </c>
      <c r="L13" s="69">
        <f t="shared" ca="1" si="4"/>
        <v>0</v>
      </c>
      <c r="M13" s="69">
        <f t="shared" ca="1" si="4"/>
        <v>0</v>
      </c>
      <c r="N13" s="69">
        <f t="shared" ca="1" si="4"/>
        <v>0</v>
      </c>
      <c r="O13" s="69">
        <f t="shared" ca="1" si="4"/>
        <v>0</v>
      </c>
      <c r="P13" s="70">
        <f t="shared" ca="1" si="4"/>
        <v>0</v>
      </c>
      <c r="Q13" s="71">
        <f t="shared" ca="1" si="4"/>
        <v>0</v>
      </c>
      <c r="R13" s="71">
        <f t="shared" ca="1" si="4"/>
        <v>70800</v>
      </c>
      <c r="S13" s="71">
        <f t="shared" ca="1" si="4"/>
        <v>141600</v>
      </c>
      <c r="T13" s="71">
        <f t="shared" ca="1" si="4"/>
        <v>212400</v>
      </c>
    </row>
    <row r="14" spans="1:20" ht="15" customHeight="1" x14ac:dyDescent="0.2">
      <c r="A14" s="289" t="s">
        <v>54</v>
      </c>
      <c r="B14" s="312"/>
      <c r="C14" s="286"/>
      <c r="D14" s="264"/>
      <c r="E14" s="72" t="str">
        <f>IF(Basisdaten!$C$12="NEIN","(Nettobeträge)","(Bruttobeträge)")</f>
        <v>(Nettobeträge)</v>
      </c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4" t="str">
        <f>IF(OR(Basisdaten!$C$12="NEIN",R9&gt;0),"(netto)","(brutto)")</f>
        <v>(netto)</v>
      </c>
      <c r="S14" s="74" t="str">
        <f>IF(OR(Basisdaten!$C$12="NEIN",S9&gt;0),"(netto)","(brutto)")</f>
        <v>(netto)</v>
      </c>
      <c r="T14" s="75" t="str">
        <f>IF(OR(Basisdaten!$C$12="NEIN",T9&gt;0),"(netto)","(brutto)")</f>
        <v>(netto)</v>
      </c>
    </row>
    <row r="15" spans="1:20" ht="15" customHeight="1" x14ac:dyDescent="0.2">
      <c r="A15" s="324" t="s">
        <v>57</v>
      </c>
      <c r="B15" s="325"/>
      <c r="C15" s="326"/>
      <c r="D15" s="255">
        <f>0%</f>
        <v>0</v>
      </c>
      <c r="E15" s="12"/>
      <c r="F15" s="4"/>
      <c r="G15" s="4"/>
      <c r="H15" s="4"/>
      <c r="I15" s="4"/>
      <c r="J15" s="4"/>
      <c r="K15" s="4"/>
      <c r="L15" s="4"/>
      <c r="M15" s="4"/>
      <c r="N15" s="4"/>
      <c r="O15" s="4"/>
      <c r="P15" s="5"/>
      <c r="Q15" s="177">
        <f>SUM(E15:P15)</f>
        <v>0</v>
      </c>
      <c r="R15" s="33">
        <f>IF(D15=0,0,Q15*$D15)</f>
        <v>0</v>
      </c>
      <c r="S15" s="33">
        <f>IF(AND(Q15=0,R15&gt;0),R15*$D15,R15*(1+$D15))</f>
        <v>0</v>
      </c>
      <c r="T15" s="33">
        <f>IF(AND(R15=0,S15&gt;0),S15*$D15,S15*(1+$D15))</f>
        <v>0</v>
      </c>
    </row>
    <row r="16" spans="1:20" ht="15" customHeight="1" x14ac:dyDescent="0.2">
      <c r="A16" s="25" t="s">
        <v>82</v>
      </c>
      <c r="B16" s="319"/>
      <c r="C16" s="320"/>
      <c r="D16" s="255">
        <f>0%</f>
        <v>0</v>
      </c>
      <c r="E16" s="12"/>
      <c r="F16" s="4"/>
      <c r="G16" s="4"/>
      <c r="H16" s="4"/>
      <c r="I16" s="4"/>
      <c r="J16" s="4"/>
      <c r="K16" s="4"/>
      <c r="L16" s="4">
        <v>1500</v>
      </c>
      <c r="M16" s="4">
        <v>1500</v>
      </c>
      <c r="N16" s="4">
        <v>1500</v>
      </c>
      <c r="O16" s="4">
        <v>1500</v>
      </c>
      <c r="P16" s="5">
        <v>1500</v>
      </c>
      <c r="Q16" s="62">
        <f t="shared" ref="Q16:Q21" si="5">SUM(E16:P16)</f>
        <v>7500</v>
      </c>
      <c r="R16" s="33">
        <v>35000</v>
      </c>
      <c r="S16" s="33">
        <v>42000</v>
      </c>
      <c r="T16" s="33">
        <v>49000</v>
      </c>
    </row>
    <row r="17" spans="1:20" ht="15" customHeight="1" x14ac:dyDescent="0.2">
      <c r="A17" s="25" t="s">
        <v>83</v>
      </c>
      <c r="B17" s="319"/>
      <c r="C17" s="320"/>
      <c r="D17" s="255">
        <f>0%</f>
        <v>0</v>
      </c>
      <c r="E17" s="12">
        <f>IF(Basisdaten!E$7&lt;2,B17*1.0705,0)</f>
        <v>0</v>
      </c>
      <c r="F17" s="4">
        <f>IF(Basisdaten!E$7&lt;3,B17*1.0705,0)</f>
        <v>0</v>
      </c>
      <c r="G17" s="4">
        <f>IF(Basisdaten!E$7&lt;4,B17*1.0705,0)</f>
        <v>0</v>
      </c>
      <c r="H17" s="4">
        <f>IF(Basisdaten!E$7&lt;5,B17*1.0705,0)</f>
        <v>0</v>
      </c>
      <c r="I17" s="4">
        <f>IF(Basisdaten!E$7&lt;6,B17*1.0705,0)</f>
        <v>0</v>
      </c>
      <c r="J17" s="4">
        <f>IF(Basisdaten!E$7&lt;7,B17*1.0705,0)</f>
        <v>0</v>
      </c>
      <c r="K17" s="4">
        <f>IF(Basisdaten!E$7&lt;8,B17*1.0705,0)</f>
        <v>0</v>
      </c>
      <c r="L17" s="4">
        <f>IF(Basisdaten!E$7&lt;9,B17*1.0705,0)</f>
        <v>0</v>
      </c>
      <c r="M17" s="4">
        <f>IF(Basisdaten!E$7&lt;10,B17*1.0705,0)</f>
        <v>0</v>
      </c>
      <c r="N17" s="4">
        <f>IF(Basisdaten!E$7&lt;11,B17*1.0705,0)</f>
        <v>0</v>
      </c>
      <c r="O17" s="4">
        <f>IF(Basisdaten!E$7&lt;12,B17*1.0705,0)</f>
        <v>0</v>
      </c>
      <c r="P17" s="5">
        <f>IF(Basisdaten!E$7&lt;13,B17*1.0705,0)</f>
        <v>0</v>
      </c>
      <c r="Q17" s="62">
        <f t="shared" si="5"/>
        <v>0</v>
      </c>
      <c r="R17" s="33">
        <f>B17*1.0705*12*(1+D17)</f>
        <v>0</v>
      </c>
      <c r="S17" s="33">
        <f>R17*(1+D17)</f>
        <v>0</v>
      </c>
      <c r="T17" s="33">
        <f t="shared" ref="T17:T20" si="6">S17*(1+D17)</f>
        <v>0</v>
      </c>
    </row>
    <row r="18" spans="1:20" ht="15" customHeight="1" x14ac:dyDescent="0.2">
      <c r="A18" s="25" t="s">
        <v>48</v>
      </c>
      <c r="B18" s="319"/>
      <c r="C18" s="320"/>
      <c r="D18" s="255">
        <f>0%</f>
        <v>0</v>
      </c>
      <c r="E18" s="12">
        <f>IF(Basisdaten!E$7&lt;2,IF(OR(E$7="Jun",E$7="Nov"),B18*1.2956*2,B18*1.2956),0)</f>
        <v>0</v>
      </c>
      <c r="F18" s="4">
        <f>IF(Basisdaten!E$7&lt;3,IF(OR(F$7="Jun",F$7="Nov"),B18*1.2956*2,B18*1.2956),0)</f>
        <v>0</v>
      </c>
      <c r="G18" s="4">
        <f>IF(Basisdaten!E$7&lt;4,IF(OR(G$7="Jun",G$7="Nov"),B18*1.2956*2,B18*1.2956),0)</f>
        <v>0</v>
      </c>
      <c r="H18" s="4">
        <f>IF(Basisdaten!E$7&lt;5,IF(OR(H$7="Jun",H$7="Nov"),B18*1.2956*2,B18*1.2956),0)</f>
        <v>0</v>
      </c>
      <c r="I18" s="4">
        <f>IF(Basisdaten!E$7&lt;6,IF(OR(I$7="Jun",I$7="Nov"),B18*1.2956*2,B18*1.2956),0)</f>
        <v>0</v>
      </c>
      <c r="J18" s="4">
        <f>IF(Basisdaten!E$7&lt;7,IF(OR(J$7="Jun",J$7="Nov"),B18*1.2956*2,B18*1.2956),0)</f>
        <v>0</v>
      </c>
      <c r="K18" s="4">
        <f>IF(Basisdaten!E$7&lt;8,IF(OR(K$7="Jun",K$7="Nov"),B18*1.2956*2,B18*1.2956),0)</f>
        <v>0</v>
      </c>
      <c r="L18" s="4">
        <f>IF(Basisdaten!E$7&lt;9,IF(OR(L$7="Jun",L$7="Nov"),B18*1.2956*2,B18*1.2956),0)</f>
        <v>0</v>
      </c>
      <c r="M18" s="4">
        <f>IF(Basisdaten!E$7&lt;10,IF(OR(M$7="Jun",M$7="Nov"),B18*1.2956*2,B18*1.2956),0)</f>
        <v>0</v>
      </c>
      <c r="N18" s="4">
        <f>IF(Basisdaten!E$7&lt;11,IF(OR(N$7="Jun",N$7="Nov"),B18*1.2956*2,B18*1.2956),0)</f>
        <v>0</v>
      </c>
      <c r="O18" s="4">
        <f>IF(Basisdaten!E$7&lt;12,IF(OR(O$7="Jun",O$7="Nov"),B18*1.2956*2,B18*1.2956),0)</f>
        <v>0</v>
      </c>
      <c r="P18" s="5">
        <f>IF(Basisdaten!E$7&lt;13,IF(OR(P$7="Jun",P$7="Nov"),B18*1.2956*2,B18*1.2956),0)</f>
        <v>0</v>
      </c>
      <c r="Q18" s="177">
        <f>SUM(E18:P18)</f>
        <v>0</v>
      </c>
      <c r="R18" s="33">
        <v>0</v>
      </c>
      <c r="S18" s="33">
        <v>0</v>
      </c>
      <c r="T18" s="33">
        <v>36190</v>
      </c>
    </row>
    <row r="19" spans="1:20" ht="15" customHeight="1" x14ac:dyDescent="0.2">
      <c r="A19" s="25" t="s">
        <v>49</v>
      </c>
      <c r="B19" s="319"/>
      <c r="C19" s="320"/>
      <c r="D19" s="255">
        <f>0%</f>
        <v>0</v>
      </c>
      <c r="E19" s="12">
        <f>IF(Basisdaten!E$7&lt;2,IF(OR(E$7="Jun",E$7="Nov"),B19*1.2956*2,B19*1.2956),0)</f>
        <v>0</v>
      </c>
      <c r="F19" s="4">
        <f>IF(Basisdaten!E$7&lt;3,IF(OR(F$7="Jun",F$7="Nov"),B19*1.2956*2,B19*1.2956),0)</f>
        <v>0</v>
      </c>
      <c r="G19" s="4">
        <f>IF(Basisdaten!E$7&lt;4,IF(OR(G$7="Jun",G$7="Nov"),B19*1.2956*2,B19*1.2956),0)</f>
        <v>0</v>
      </c>
      <c r="H19" s="4">
        <f>IF(Basisdaten!E$7&lt;5,IF(OR(H$7="Jun",H$7="Nov"),B19*1.2956*2,B19*1.2956),0)</f>
        <v>0</v>
      </c>
      <c r="I19" s="4">
        <f>IF(Basisdaten!E$7&lt;6,IF(OR(I$7="Jun",I$7="Nov"),B19*1.2956*2,B19*1.2956),0)</f>
        <v>0</v>
      </c>
      <c r="J19" s="4">
        <f>IF(Basisdaten!E$7&lt;7,IF(OR(J$7="Jun",J$7="Nov"),B19*1.2956*2,B19*1.2956),0)</f>
        <v>0</v>
      </c>
      <c r="K19" s="4">
        <f>IF(Basisdaten!E$7&lt;8,IF(OR(K$7="Jun",K$7="Nov"),B19*1.2956*2,B19*1.2956),0)</f>
        <v>0</v>
      </c>
      <c r="L19" s="4">
        <f>IF(Basisdaten!E$7&lt;9,IF(OR(L$7="Jun",L$7="Nov"),B19*1.2956*2,B19*1.2956),0)</f>
        <v>0</v>
      </c>
      <c r="M19" s="4">
        <f>IF(Basisdaten!E$7&lt;10,IF(OR(M$7="Jun",M$7="Nov"),B19*1.2956*2,B19*1.2956),0)</f>
        <v>0</v>
      </c>
      <c r="N19" s="4">
        <f>IF(Basisdaten!E$7&lt;11,IF(OR(N$7="Jun",N$7="Nov"),B19*1.2956*2,B19*1.2956),0)</f>
        <v>0</v>
      </c>
      <c r="O19" s="4">
        <f>IF(Basisdaten!E$7&lt;12,IF(OR(O$7="Jun",O$7="Nov"),B19*1.2956*2,B19*1.2956),0)</f>
        <v>0</v>
      </c>
      <c r="P19" s="5">
        <f>IF(Basisdaten!E$7&lt;13,IF(OR(P$7="Jun",P$7="Nov"),B19*1.2956*2,B19*1.2956),0)</f>
        <v>0</v>
      </c>
      <c r="Q19" s="62">
        <f t="shared" si="5"/>
        <v>0</v>
      </c>
      <c r="R19" s="33">
        <v>0</v>
      </c>
      <c r="S19" s="33">
        <f>R18*(1+D19)</f>
        <v>0</v>
      </c>
      <c r="T19" s="33">
        <f t="shared" si="6"/>
        <v>0</v>
      </c>
    </row>
    <row r="20" spans="1:20" ht="15" customHeight="1" x14ac:dyDescent="0.2">
      <c r="A20" s="25" t="s">
        <v>50</v>
      </c>
      <c r="B20" s="319"/>
      <c r="C20" s="320"/>
      <c r="D20" s="255">
        <f>0%</f>
        <v>0</v>
      </c>
      <c r="E20" s="12">
        <f>IF(Basisdaten!E$7&lt;2,IF(OR(E$7="Jun",E$7="Nov"),B20*1.2956*2,B20*1.2956),0)</f>
        <v>0</v>
      </c>
      <c r="F20" s="4">
        <f>IF(Basisdaten!E$7&lt;3,IF(OR(F$7="Jun",F$7="Nov"),B20*1.2956*2,B20*1.2956),0)</f>
        <v>0</v>
      </c>
      <c r="G20" s="4">
        <f>IF(Basisdaten!E$7&lt;4,IF(OR(G$7="Jun",G$7="Nov"),B20*1.2956*2,B20*1.2956),0)</f>
        <v>0</v>
      </c>
      <c r="H20" s="4">
        <f>IF(Basisdaten!E$7&lt;5,IF(OR(H$7="Jun",H$7="Nov"),B20*1.2956*2,B20*1.2956),0)</f>
        <v>0</v>
      </c>
      <c r="I20" s="4">
        <f>IF(Basisdaten!E$7&lt;6,IF(OR(I$7="Jun",I$7="Nov"),B20*1.2956*2,B20*1.2956),0)</f>
        <v>0</v>
      </c>
      <c r="J20" s="4">
        <f>IF(Basisdaten!E$7&lt;7,IF(OR(J$7="Jun",J$7="Nov"),B20*1.2956*2,B20*1.2956),0)</f>
        <v>0</v>
      </c>
      <c r="K20" s="4">
        <f>IF(Basisdaten!E$7&lt;8,IF(OR(K$7="Jun",K$7="Nov"),B20*1.2956*2,B20*1.2956),0)</f>
        <v>0</v>
      </c>
      <c r="L20" s="4">
        <f>IF(Basisdaten!E$7&lt;9,IF(OR(L$7="Jun",L$7="Nov"),B20*1.2956*2,B20*1.2956),0)</f>
        <v>0</v>
      </c>
      <c r="M20" s="4">
        <f>IF(Basisdaten!E$7&lt;10,IF(OR(M$7="Jun",M$7="Nov"),B20*1.2956*2,B20*1.2956),0)</f>
        <v>0</v>
      </c>
      <c r="N20" s="4">
        <f>IF(Basisdaten!E$7&lt;11,IF(OR(N$7="Jun",N$7="Nov"),B20*1.2956*2,B20*1.2956),0)</f>
        <v>0</v>
      </c>
      <c r="O20" s="4">
        <f>IF(Basisdaten!E$7&lt;12,IF(OR(O$7="Jun",O$7="Nov"),B20*1.2956*2,B20*1.2956),0)</f>
        <v>0</v>
      </c>
      <c r="P20" s="5">
        <f>IF(Basisdaten!E$7&lt;13,IF(OR(P$7="Jun",P$7="Nov"),B20*1.2956*2,B20*1.2956),0)</f>
        <v>0</v>
      </c>
      <c r="Q20" s="62">
        <f t="shared" si="5"/>
        <v>0</v>
      </c>
      <c r="R20" s="284">
        <v>0</v>
      </c>
      <c r="S20" s="33">
        <f>R19*(1+D20)</f>
        <v>0</v>
      </c>
      <c r="T20" s="33">
        <f t="shared" si="6"/>
        <v>0</v>
      </c>
    </row>
    <row r="21" spans="1:20" ht="15" customHeight="1" x14ac:dyDescent="0.2">
      <c r="A21" s="311" t="s">
        <v>18</v>
      </c>
      <c r="B21" s="286"/>
      <c r="C21" s="286"/>
      <c r="D21" s="265">
        <f>ROUND((IF(Q21=0,0,IF(Q21&gt;0,1,-1)*(R21/(Q21/(COUNTIF(E21:P21,"&gt;0")+COUNTIF(E21:P21,"&lt;0"))*12)-1))+IF(R21=0,0,IF(R21&gt;0,1,-1)*(S21/R21-1))+IF(S21=0,0,IF(S21&gt;0,1,-1)*(T21/S21-1)))/3,2)</f>
        <v>0.72</v>
      </c>
      <c r="E21" s="78">
        <f>SUM(E16:E20)</f>
        <v>0</v>
      </c>
      <c r="F21" s="63">
        <f t="shared" ref="F21:P21" si="7">SUM(F16:F20)</f>
        <v>0</v>
      </c>
      <c r="G21" s="63">
        <f t="shared" si="7"/>
        <v>0</v>
      </c>
      <c r="H21" s="63">
        <f t="shared" si="7"/>
        <v>0</v>
      </c>
      <c r="I21" s="63">
        <f t="shared" si="7"/>
        <v>0</v>
      </c>
      <c r="J21" s="63">
        <f t="shared" si="7"/>
        <v>0</v>
      </c>
      <c r="K21" s="63">
        <f t="shared" si="7"/>
        <v>0</v>
      </c>
      <c r="L21" s="63">
        <f t="shared" si="7"/>
        <v>1500</v>
      </c>
      <c r="M21" s="63">
        <f t="shared" si="7"/>
        <v>1500</v>
      </c>
      <c r="N21" s="63">
        <f t="shared" si="7"/>
        <v>1500</v>
      </c>
      <c r="O21" s="63">
        <f t="shared" si="7"/>
        <v>1500</v>
      </c>
      <c r="P21" s="64">
        <f t="shared" si="7"/>
        <v>1500</v>
      </c>
      <c r="Q21" s="62">
        <f t="shared" si="5"/>
        <v>7500</v>
      </c>
      <c r="R21" s="62">
        <f>SUM(R16:R19)</f>
        <v>35000</v>
      </c>
      <c r="S21" s="62">
        <f>SUM(S16:S20)</f>
        <v>42000</v>
      </c>
      <c r="T21" s="62">
        <f>SUM(T16:T20)</f>
        <v>85190</v>
      </c>
    </row>
    <row r="22" spans="1:20" ht="15" customHeight="1" x14ac:dyDescent="0.2">
      <c r="A22" s="324" t="s">
        <v>92</v>
      </c>
      <c r="B22" s="325"/>
      <c r="C22" s="326"/>
      <c r="D22" s="255">
        <f>0%</f>
        <v>0</v>
      </c>
      <c r="E22" s="12"/>
      <c r="F22" s="4"/>
      <c r="G22" s="4"/>
      <c r="H22" s="4"/>
      <c r="I22" s="4"/>
      <c r="J22" s="4"/>
      <c r="K22" s="4"/>
      <c r="L22" s="4"/>
      <c r="M22" s="4"/>
      <c r="N22" s="4"/>
      <c r="O22" s="4"/>
      <c r="P22" s="5"/>
      <c r="Q22" s="177">
        <f>SUM(E22:P22)</f>
        <v>0</v>
      </c>
      <c r="R22" s="33">
        <v>200</v>
      </c>
      <c r="S22" s="33">
        <f>R22*(1+$D22)</f>
        <v>200</v>
      </c>
      <c r="T22" s="33">
        <f t="shared" ref="T22:T34" si="8">S22*(1+$D22)</f>
        <v>200</v>
      </c>
    </row>
    <row r="23" spans="1:20" ht="15" customHeight="1" x14ac:dyDescent="0.2">
      <c r="A23" s="324" t="s">
        <v>91</v>
      </c>
      <c r="B23" s="325"/>
      <c r="C23" s="326"/>
      <c r="D23" s="255">
        <f>0%</f>
        <v>0</v>
      </c>
      <c r="E23" s="12"/>
      <c r="F23" s="4"/>
      <c r="G23" s="4"/>
      <c r="H23" s="4"/>
      <c r="I23" s="4"/>
      <c r="J23" s="4"/>
      <c r="K23" s="4"/>
      <c r="L23" s="4">
        <v>0</v>
      </c>
      <c r="M23" s="4">
        <f t="shared" ref="L23:P33" si="9">L23</f>
        <v>0</v>
      </c>
      <c r="N23" s="4">
        <f t="shared" si="9"/>
        <v>0</v>
      </c>
      <c r="O23" s="4">
        <f t="shared" si="9"/>
        <v>0</v>
      </c>
      <c r="P23" s="5">
        <f t="shared" si="9"/>
        <v>0</v>
      </c>
      <c r="Q23" s="62">
        <f t="shared" ref="Q23:Q39" si="10">SUM(E23:P23)</f>
        <v>0</v>
      </c>
      <c r="R23" s="32">
        <v>3000</v>
      </c>
      <c r="S23" s="33">
        <v>3000</v>
      </c>
      <c r="T23" s="33">
        <v>3000</v>
      </c>
    </row>
    <row r="24" spans="1:20" ht="15" customHeight="1" x14ac:dyDescent="0.2">
      <c r="A24" s="324" t="s">
        <v>100</v>
      </c>
      <c r="B24" s="325"/>
      <c r="C24" s="326"/>
      <c r="D24" s="255">
        <f>0%</f>
        <v>0</v>
      </c>
      <c r="E24" s="12"/>
      <c r="F24" s="4"/>
      <c r="G24" s="4"/>
      <c r="H24" s="4"/>
      <c r="I24" s="4"/>
      <c r="J24" s="4"/>
      <c r="K24" s="4"/>
      <c r="L24" s="4">
        <v>50</v>
      </c>
      <c r="M24" s="4">
        <v>50</v>
      </c>
      <c r="N24" s="4">
        <f t="shared" si="9"/>
        <v>50</v>
      </c>
      <c r="O24" s="4">
        <f t="shared" si="9"/>
        <v>50</v>
      </c>
      <c r="P24" s="5">
        <f t="shared" si="9"/>
        <v>50</v>
      </c>
      <c r="Q24" s="62">
        <f t="shared" si="10"/>
        <v>250</v>
      </c>
      <c r="R24" s="32">
        <v>1800</v>
      </c>
      <c r="S24" s="33">
        <v>2400</v>
      </c>
      <c r="T24" s="33">
        <v>3000</v>
      </c>
    </row>
    <row r="25" spans="1:20" ht="15" customHeight="1" x14ac:dyDescent="0.2">
      <c r="A25" s="327" t="s">
        <v>15</v>
      </c>
      <c r="B25" s="325"/>
      <c r="C25" s="326"/>
      <c r="D25" s="255">
        <f>0%</f>
        <v>0</v>
      </c>
      <c r="E25" s="12"/>
      <c r="F25" s="4"/>
      <c r="G25" s="4"/>
      <c r="H25" s="4"/>
      <c r="I25" s="4"/>
      <c r="J25" s="4"/>
      <c r="K25" s="4"/>
      <c r="L25" s="4">
        <f t="shared" si="9"/>
        <v>0</v>
      </c>
      <c r="M25" s="4">
        <f t="shared" si="9"/>
        <v>0</v>
      </c>
      <c r="N25" s="4">
        <f t="shared" si="9"/>
        <v>0</v>
      </c>
      <c r="O25" s="4">
        <f t="shared" si="9"/>
        <v>0</v>
      </c>
      <c r="P25" s="5">
        <f t="shared" si="9"/>
        <v>0</v>
      </c>
      <c r="Q25" s="62">
        <f t="shared" si="10"/>
        <v>0</v>
      </c>
      <c r="R25" s="32">
        <f>SUM(INDEX(E25:P25,IF(Basisdaten!C$10=1,2,Basisdaten!C$10)):P25)/(13-IF(Basisdaten!C$10=1,2,Basisdaten!C$10))*12*(1+D25)</f>
        <v>0</v>
      </c>
      <c r="S25" s="33">
        <f t="shared" ref="S25" si="11">R25*(1+$D25)</f>
        <v>0</v>
      </c>
      <c r="T25" s="33">
        <f t="shared" si="8"/>
        <v>0</v>
      </c>
    </row>
    <row r="26" spans="1:20" ht="15" customHeight="1" x14ac:dyDescent="0.2">
      <c r="A26" s="327" t="s">
        <v>6</v>
      </c>
      <c r="B26" s="325"/>
      <c r="C26" s="326"/>
      <c r="D26" s="255">
        <f>0%</f>
        <v>0</v>
      </c>
      <c r="E26" s="12"/>
      <c r="F26" s="4"/>
      <c r="G26" s="4"/>
      <c r="H26" s="4"/>
      <c r="I26" s="4"/>
      <c r="J26" s="4"/>
      <c r="K26" s="4"/>
      <c r="L26" s="4">
        <f t="shared" si="9"/>
        <v>0</v>
      </c>
      <c r="M26" s="4">
        <f t="shared" si="9"/>
        <v>0</v>
      </c>
      <c r="N26" s="4">
        <f t="shared" si="9"/>
        <v>0</v>
      </c>
      <c r="O26" s="4">
        <f t="shared" si="9"/>
        <v>0</v>
      </c>
      <c r="P26" s="5">
        <f t="shared" si="9"/>
        <v>0</v>
      </c>
      <c r="Q26" s="62">
        <f t="shared" si="10"/>
        <v>0</v>
      </c>
      <c r="R26" s="32">
        <f>SUM(INDEX(E26:P26,IF(Basisdaten!C$10=1,2,Basisdaten!C$10)):P26)/(13-IF(Basisdaten!C$10=1,2,Basisdaten!C$10))*12*(1+D26)</f>
        <v>0</v>
      </c>
      <c r="S26" s="33">
        <f t="shared" ref="S26" si="12">R26*(1+$D26)</f>
        <v>0</v>
      </c>
      <c r="T26" s="33">
        <f t="shared" si="8"/>
        <v>0</v>
      </c>
    </row>
    <row r="27" spans="1:20" ht="15" customHeight="1" x14ac:dyDescent="0.2">
      <c r="A27" s="327" t="s">
        <v>7</v>
      </c>
      <c r="B27" s="325"/>
      <c r="C27" s="326"/>
      <c r="D27" s="255">
        <f>0%</f>
        <v>0</v>
      </c>
      <c r="E27" s="12"/>
      <c r="F27" s="4"/>
      <c r="G27" s="4"/>
      <c r="H27" s="4"/>
      <c r="I27" s="4"/>
      <c r="J27" s="4"/>
      <c r="K27" s="4"/>
      <c r="L27" s="4"/>
      <c r="M27" s="4"/>
      <c r="N27" s="4"/>
      <c r="O27" s="4"/>
      <c r="P27" s="5"/>
      <c r="Q27" s="62">
        <f t="shared" si="10"/>
        <v>0</v>
      </c>
      <c r="R27" s="33">
        <f>Q27*(1+$D27)</f>
        <v>0</v>
      </c>
      <c r="S27" s="33">
        <f t="shared" ref="S27" si="13">R27*(1+$D27)</f>
        <v>0</v>
      </c>
      <c r="T27" s="33">
        <f t="shared" si="8"/>
        <v>0</v>
      </c>
    </row>
    <row r="28" spans="1:20" ht="15" customHeight="1" x14ac:dyDescent="0.2">
      <c r="A28" s="324" t="s">
        <v>56</v>
      </c>
      <c r="B28" s="325"/>
      <c r="C28" s="326"/>
      <c r="D28" s="255">
        <f>0%</f>
        <v>0</v>
      </c>
      <c r="E28" s="12"/>
      <c r="F28" s="4"/>
      <c r="G28" s="4"/>
      <c r="H28" s="4"/>
      <c r="I28" s="4"/>
      <c r="J28" s="4"/>
      <c r="K28" s="4"/>
      <c r="L28" s="4">
        <f t="shared" si="9"/>
        <v>0</v>
      </c>
      <c r="M28" s="4">
        <f t="shared" si="9"/>
        <v>0</v>
      </c>
      <c r="N28" s="4">
        <f t="shared" si="9"/>
        <v>0</v>
      </c>
      <c r="O28" s="4">
        <f t="shared" si="9"/>
        <v>0</v>
      </c>
      <c r="P28" s="5">
        <f t="shared" si="9"/>
        <v>0</v>
      </c>
      <c r="Q28" s="62">
        <f t="shared" si="10"/>
        <v>0</v>
      </c>
      <c r="R28" s="32">
        <f>SUM(INDEX(E28:P28,IF(Basisdaten!C$10=1,2,Basisdaten!C$10)):P28)/(13-IF(Basisdaten!C$10=1,2,Basisdaten!C$10))*12*(1+D28)</f>
        <v>0</v>
      </c>
      <c r="S28" s="33">
        <f t="shared" ref="S28" si="14">R28*(1+$D28)</f>
        <v>0</v>
      </c>
      <c r="T28" s="33">
        <f t="shared" si="8"/>
        <v>0</v>
      </c>
    </row>
    <row r="29" spans="1:20" ht="15" customHeight="1" x14ac:dyDescent="0.2">
      <c r="A29" s="327" t="s">
        <v>20</v>
      </c>
      <c r="B29" s="325"/>
      <c r="C29" s="326"/>
      <c r="D29" s="255">
        <f>0%</f>
        <v>0</v>
      </c>
      <c r="E29" s="12"/>
      <c r="F29" s="4"/>
      <c r="G29" s="4"/>
      <c r="H29" s="4"/>
      <c r="I29" s="4"/>
      <c r="J29" s="4"/>
      <c r="K29" s="4"/>
      <c r="L29" s="4">
        <v>50</v>
      </c>
      <c r="M29" s="4">
        <f t="shared" si="9"/>
        <v>50</v>
      </c>
      <c r="N29" s="4">
        <f t="shared" si="9"/>
        <v>50</v>
      </c>
      <c r="O29" s="4">
        <f t="shared" si="9"/>
        <v>50</v>
      </c>
      <c r="P29" s="5">
        <f t="shared" si="9"/>
        <v>50</v>
      </c>
      <c r="Q29" s="62">
        <f t="shared" si="10"/>
        <v>250</v>
      </c>
      <c r="R29" s="32">
        <v>1500</v>
      </c>
      <c r="S29" s="33">
        <v>3000</v>
      </c>
      <c r="T29" s="33">
        <v>5000</v>
      </c>
    </row>
    <row r="30" spans="1:20" ht="15" customHeight="1" x14ac:dyDescent="0.2">
      <c r="A30" s="324" t="s">
        <v>95</v>
      </c>
      <c r="B30" s="325"/>
      <c r="C30" s="326"/>
      <c r="D30" s="255">
        <f>0%</f>
        <v>0</v>
      </c>
      <c r="E30" s="12"/>
      <c r="F30" s="4"/>
      <c r="G30" s="4"/>
      <c r="H30" s="4"/>
      <c r="I30" s="4"/>
      <c r="J30" s="4"/>
      <c r="K30" s="4"/>
      <c r="L30" s="4">
        <v>20</v>
      </c>
      <c r="M30" s="4">
        <f t="shared" si="9"/>
        <v>20</v>
      </c>
      <c r="N30" s="4">
        <f t="shared" si="9"/>
        <v>20</v>
      </c>
      <c r="O30" s="4">
        <f t="shared" si="9"/>
        <v>20</v>
      </c>
      <c r="P30" s="5">
        <f t="shared" si="9"/>
        <v>20</v>
      </c>
      <c r="Q30" s="62">
        <f t="shared" si="10"/>
        <v>100</v>
      </c>
      <c r="R30" s="32">
        <v>240</v>
      </c>
      <c r="S30" s="33">
        <f t="shared" ref="S30" si="15">R30*(1+$D30)</f>
        <v>240</v>
      </c>
      <c r="T30" s="33">
        <f t="shared" si="8"/>
        <v>240</v>
      </c>
    </row>
    <row r="31" spans="1:20" ht="15" customHeight="1" x14ac:dyDescent="0.2">
      <c r="A31" s="324" t="s">
        <v>102</v>
      </c>
      <c r="B31" s="325"/>
      <c r="C31" s="326"/>
      <c r="D31" s="255">
        <f>0%</f>
        <v>0</v>
      </c>
      <c r="E31" s="12"/>
      <c r="F31" s="4"/>
      <c r="G31" s="4"/>
      <c r="H31" s="4"/>
      <c r="I31" s="4"/>
      <c r="J31" s="4"/>
      <c r="K31" s="4"/>
      <c r="L31" s="4">
        <v>0</v>
      </c>
      <c r="M31" s="4">
        <v>0</v>
      </c>
      <c r="N31" s="4">
        <f t="shared" si="9"/>
        <v>0</v>
      </c>
      <c r="O31" s="4">
        <f t="shared" si="9"/>
        <v>0</v>
      </c>
      <c r="P31" s="5">
        <f t="shared" si="9"/>
        <v>0</v>
      </c>
      <c r="Q31" s="62">
        <f t="shared" si="10"/>
        <v>0</v>
      </c>
      <c r="R31" s="32">
        <v>2000</v>
      </c>
      <c r="S31" s="33">
        <f t="shared" ref="S31" si="16">R31*(1+$D31)</f>
        <v>2000</v>
      </c>
      <c r="T31" s="33">
        <v>0</v>
      </c>
    </row>
    <row r="32" spans="1:20" ht="15" customHeight="1" x14ac:dyDescent="0.2">
      <c r="A32" s="327" t="s">
        <v>8</v>
      </c>
      <c r="B32" s="325"/>
      <c r="C32" s="326"/>
      <c r="D32" s="255">
        <f>0%</f>
        <v>0</v>
      </c>
      <c r="E32" s="12"/>
      <c r="F32" s="4"/>
      <c r="G32" s="4"/>
      <c r="H32" s="4"/>
      <c r="I32" s="4"/>
      <c r="J32" s="4"/>
      <c r="K32" s="4"/>
      <c r="L32" s="4">
        <v>50</v>
      </c>
      <c r="M32" s="4">
        <f t="shared" si="9"/>
        <v>50</v>
      </c>
      <c r="N32" s="4">
        <f t="shared" si="9"/>
        <v>50</v>
      </c>
      <c r="O32" s="4">
        <f t="shared" si="9"/>
        <v>50</v>
      </c>
      <c r="P32" s="5">
        <v>450</v>
      </c>
      <c r="Q32" s="62">
        <f t="shared" si="10"/>
        <v>650</v>
      </c>
      <c r="R32" s="32">
        <v>1000</v>
      </c>
      <c r="S32" s="33">
        <f t="shared" ref="S32" si="17">R32*(1+$D32)</f>
        <v>1000</v>
      </c>
      <c r="T32" s="33">
        <v>1000</v>
      </c>
    </row>
    <row r="33" spans="1:21" ht="15" customHeight="1" x14ac:dyDescent="0.2">
      <c r="A33" s="327" t="s">
        <v>13</v>
      </c>
      <c r="B33" s="325"/>
      <c r="C33" s="326"/>
      <c r="D33" s="255">
        <f>0%</f>
        <v>0</v>
      </c>
      <c r="E33" s="12"/>
      <c r="F33" s="4"/>
      <c r="G33" s="4"/>
      <c r="H33" s="4"/>
      <c r="I33" s="4"/>
      <c r="J33" s="4"/>
      <c r="K33" s="4"/>
      <c r="L33" s="4">
        <v>500</v>
      </c>
      <c r="M33" s="4">
        <v>0</v>
      </c>
      <c r="N33" s="4">
        <f t="shared" si="9"/>
        <v>0</v>
      </c>
      <c r="O33" s="4">
        <f t="shared" si="9"/>
        <v>0</v>
      </c>
      <c r="P33" s="5">
        <f t="shared" si="9"/>
        <v>0</v>
      </c>
      <c r="Q33" s="62">
        <f t="shared" si="10"/>
        <v>500</v>
      </c>
      <c r="R33" s="33">
        <v>1000</v>
      </c>
      <c r="S33" s="33">
        <f t="shared" ref="S33" si="18">R33*(1+$D33)</f>
        <v>1000</v>
      </c>
      <c r="T33" s="33">
        <f t="shared" si="8"/>
        <v>1000</v>
      </c>
    </row>
    <row r="34" spans="1:21" ht="15" customHeight="1" x14ac:dyDescent="0.2">
      <c r="A34" s="327" t="s">
        <v>9</v>
      </c>
      <c r="B34" s="325"/>
      <c r="C34" s="326"/>
      <c r="D34" s="255">
        <f>0%</f>
        <v>0</v>
      </c>
      <c r="E34" s="12"/>
      <c r="F34" s="4"/>
      <c r="G34" s="4"/>
      <c r="H34" s="4"/>
      <c r="I34" s="4"/>
      <c r="J34" s="4"/>
      <c r="K34" s="4"/>
      <c r="L34" s="4"/>
      <c r="M34" s="4"/>
      <c r="N34" s="4"/>
      <c r="O34" s="4"/>
      <c r="P34" s="5"/>
      <c r="Q34" s="62">
        <f t="shared" si="10"/>
        <v>0</v>
      </c>
      <c r="R34" s="33">
        <v>2000</v>
      </c>
      <c r="S34" s="33">
        <f t="shared" ref="S34" si="19">R34*(1+$D34)</f>
        <v>2000</v>
      </c>
      <c r="T34" s="33">
        <f t="shared" si="8"/>
        <v>2000</v>
      </c>
    </row>
    <row r="35" spans="1:21" ht="15" customHeight="1" x14ac:dyDescent="0.2">
      <c r="A35" s="329" t="s">
        <v>101</v>
      </c>
      <c r="B35" s="330"/>
      <c r="C35" s="331"/>
      <c r="D35" s="255">
        <f>0%</f>
        <v>0</v>
      </c>
      <c r="E35" s="12"/>
      <c r="F35" s="4"/>
      <c r="G35" s="4"/>
      <c r="H35" s="4"/>
      <c r="I35" s="4"/>
      <c r="J35" s="4"/>
      <c r="K35" s="4"/>
      <c r="L35" s="4">
        <v>100</v>
      </c>
      <c r="M35" s="4">
        <v>250</v>
      </c>
      <c r="N35" s="4">
        <v>300</v>
      </c>
      <c r="O35" s="4">
        <v>350</v>
      </c>
      <c r="P35" s="5">
        <v>400</v>
      </c>
      <c r="Q35" s="62">
        <f t="shared" si="10"/>
        <v>1400</v>
      </c>
      <c r="R35" s="32">
        <v>5000</v>
      </c>
      <c r="S35" s="33">
        <v>10000</v>
      </c>
      <c r="T35" s="33">
        <v>15000</v>
      </c>
    </row>
    <row r="36" spans="1:21" ht="15" customHeight="1" x14ac:dyDescent="0.2">
      <c r="A36" s="324" t="s">
        <v>103</v>
      </c>
      <c r="B36" s="325"/>
      <c r="C36" s="326"/>
      <c r="D36" s="255">
        <f>0%</f>
        <v>0</v>
      </c>
      <c r="E36" s="12"/>
      <c r="F36" s="4"/>
      <c r="G36" s="4"/>
      <c r="H36" s="4"/>
      <c r="I36" s="4"/>
      <c r="J36" s="4"/>
      <c r="K36" s="4"/>
      <c r="L36" s="4"/>
      <c r="M36" s="4"/>
      <c r="N36" s="4"/>
      <c r="O36" s="4"/>
      <c r="P36" s="5"/>
      <c r="Q36" s="62">
        <f t="shared" si="10"/>
        <v>0</v>
      </c>
      <c r="R36" s="33">
        <v>500</v>
      </c>
      <c r="S36" s="33">
        <v>500</v>
      </c>
      <c r="T36" s="33">
        <v>500</v>
      </c>
    </row>
    <row r="37" spans="1:21" ht="15" customHeight="1" x14ac:dyDescent="0.2">
      <c r="A37" s="321" t="s">
        <v>14</v>
      </c>
      <c r="B37" s="308"/>
      <c r="C37" s="286"/>
      <c r="D37" s="269">
        <f t="shared" ref="D37" si="20">(IF(Q37=0,0,IF(Q37&gt;0,1,-1)*(R37/(Q37/(COUNTIF(E37:P37,"&gt;0")+COUNTIF(E37:P37,"&lt;0"))*12)-1))+IF(R37=0,0,IF(R37&gt;0,1,-1)*(S37/R37-1))+IF(S37=0,0,IF(S37&gt;0,1,-1)*(T37/S37-1)))/3</f>
        <v>-0.22222222222222221</v>
      </c>
      <c r="E37" s="12">
        <f>Investitionsplan!$D$43</f>
        <v>0</v>
      </c>
      <c r="F37" s="4">
        <f>Investitionsplan!$E$43</f>
        <v>0</v>
      </c>
      <c r="G37" s="4">
        <f>Investitionsplan!$F$43</f>
        <v>0</v>
      </c>
      <c r="H37" s="4">
        <f>Investitionsplan!$G$43</f>
        <v>0</v>
      </c>
      <c r="I37" s="4">
        <f>Investitionsplan!$H$43</f>
        <v>0</v>
      </c>
      <c r="J37" s="4">
        <f>Investitionsplan!$I$43</f>
        <v>0</v>
      </c>
      <c r="K37" s="4">
        <f>Investitionsplan!$J$43</f>
        <v>0</v>
      </c>
      <c r="L37" s="4">
        <f>Investitionsplan!$K$43</f>
        <v>50</v>
      </c>
      <c r="M37" s="4">
        <f>Investitionsplan!$L$43</f>
        <v>50</v>
      </c>
      <c r="N37" s="4">
        <f>Investitionsplan!$M$43</f>
        <v>50</v>
      </c>
      <c r="O37" s="4">
        <f>Investitionsplan!$N$43</f>
        <v>50</v>
      </c>
      <c r="P37" s="5">
        <f>Investitionsplan!$O$43</f>
        <v>50</v>
      </c>
      <c r="Q37" s="62">
        <f t="shared" si="10"/>
        <v>250</v>
      </c>
      <c r="R37" s="32">
        <f>Investitionsplan!R43</f>
        <v>500</v>
      </c>
      <c r="S37" s="32">
        <f>Investitionsplan!T43</f>
        <v>500</v>
      </c>
      <c r="T37" s="32">
        <f>Investitionsplan!V43</f>
        <v>250</v>
      </c>
    </row>
    <row r="38" spans="1:21" ht="15" customHeight="1" x14ac:dyDescent="0.2">
      <c r="A38" s="322" t="s">
        <v>26</v>
      </c>
      <c r="B38" s="323"/>
      <c r="C38" s="286"/>
      <c r="D38" s="265">
        <f>ROUND((IF(Q38=0,0,IF(Q38&gt;0,1,-1)*(R38/(Q38/(COUNTIF(E38:P38,"&gt;0")+COUNTIF(E38:P38,"&lt;0"))*12)-1))+IF(R38=0,0,IF(R38&gt;0,1,-1)*(S38/R38-1))+IF(S38=0,0,IF(S38&gt;0,1,-1)*(T38/S38-1)))/3,2)</f>
        <v>0</v>
      </c>
      <c r="E38" s="12">
        <f>Finanzplan!$B28*Finanzplan!$E28/12+Finanzplan!$B29*Finanzplan!$E29/12+Finanzplan!E37*Finanzplan!$C$37/12</f>
        <v>0</v>
      </c>
      <c r="F38" s="4">
        <f>Finanzplan!$B28*SUM(Finanzplan!$E28:'Finanzplan'!F28)/12+Finanzplan!$B29*SUM(Finanzplan!$E29:'Finanzplan'!F29)/12+Finanzplan!F37*Finanzplan!$C$37/12</f>
        <v>0</v>
      </c>
      <c r="G38" s="4">
        <f>Finanzplan!$B28*SUM(Finanzplan!$E28:'Finanzplan'!G28)/12+Finanzplan!$B29*SUM(Finanzplan!$E29:'Finanzplan'!G29)/12+Finanzplan!G37*Finanzplan!$C$37/12</f>
        <v>0</v>
      </c>
      <c r="H38" s="4">
        <f>Finanzplan!$B28*SUM(Finanzplan!$E28:'Finanzplan'!H28)/12+Finanzplan!$B29*SUM(Finanzplan!$E29:'Finanzplan'!H29)/12+Finanzplan!H37*Finanzplan!$C$37/12</f>
        <v>0</v>
      </c>
      <c r="I38" s="4">
        <f>Finanzplan!$B28*SUM(Finanzplan!$E28:'Finanzplan'!I28)/12+Finanzplan!$B29*SUM(Finanzplan!$E29:'Finanzplan'!I29)/12+Finanzplan!I37*Finanzplan!$C$37/12</f>
        <v>0</v>
      </c>
      <c r="J38" s="4">
        <f>Finanzplan!$B28*SUM(Finanzplan!$E28:'Finanzplan'!J28)/12+Finanzplan!$B29*SUM(Finanzplan!$E29:'Finanzplan'!J29)/12+Finanzplan!J37*Finanzplan!$C$37/12</f>
        <v>0</v>
      </c>
      <c r="K38" s="4">
        <f>Finanzplan!$B28*SUM(Finanzplan!$E28:'Finanzplan'!K28)/12+Finanzplan!$B29*SUM(Finanzplan!$E29:'Finanzplan'!K29)/12+Finanzplan!K37*Finanzplan!$C$37/12</f>
        <v>0</v>
      </c>
      <c r="L38" s="4">
        <f>Finanzplan!$B28*SUM(Finanzplan!$E28:'Finanzplan'!L28)/12+Finanzplan!$B29*SUM(Finanzplan!$E29:'Finanzplan'!L29)/12+Finanzplan!L37*Finanzplan!$C$37/12</f>
        <v>0</v>
      </c>
      <c r="M38" s="4">
        <f>Finanzplan!$B28*SUM(Finanzplan!$E28:'Finanzplan'!M28)/12+Finanzplan!$B29*SUM(Finanzplan!$E29:'Finanzplan'!M29)/12+Finanzplan!M37*Finanzplan!$C$37/12</f>
        <v>0</v>
      </c>
      <c r="N38" s="4">
        <f>Finanzplan!$B28*SUM(Finanzplan!$E28:'Finanzplan'!N28)/12+Finanzplan!$B29*SUM(Finanzplan!$E29:'Finanzplan'!N29)/12+Finanzplan!N37*Finanzplan!$C$37/12</f>
        <v>0</v>
      </c>
      <c r="O38" s="4">
        <f>Finanzplan!$B28*SUM(Finanzplan!$E28:'Finanzplan'!O28)/12+Finanzplan!$B29*SUM(Finanzplan!$E29:'Finanzplan'!O29)/12+Finanzplan!O37*Finanzplan!$C$37/12</f>
        <v>0</v>
      </c>
      <c r="P38" s="5">
        <f>Finanzplan!$B28*SUM(Finanzplan!$E28:'Finanzplan'!P28)/12+Finanzplan!$B29*SUM(Finanzplan!$E29:'Finanzplan'!P29)/12+Finanzplan!P37*Finanzplan!$C$37/12</f>
        <v>0</v>
      </c>
      <c r="Q38" s="62">
        <f t="shared" si="10"/>
        <v>0</v>
      </c>
      <c r="R38" s="26">
        <f>IF(Finanzplan!R28&gt;0,(Finanzplan!R28+Finanzplan!S28/2.402)*Finanzplan!B28,(+Finanzplan!Q28+Finanzplan!R28/2)*Finanzplan!$B$28)+IF(Finanzplan!R29&gt;0,(Finanzplan!R29+Finanzplan!S29/2.402)*Finanzplan!B29,(+Finanzplan!Q29+Finanzplan!R29/2)*Finanzplan!$B$29)+Finanzplan!R37*Finanzplan!$C$37</f>
        <v>0</v>
      </c>
      <c r="S38" s="26">
        <f>IF(Finanzplan!S28&gt;0,(Finanzplan!S28+Finanzplan!T28/2.402)*Finanzplan!B28,(+Finanzplan!Q28+Finanzplan!R28+Finanzplan!S28/2)*Finanzplan!$B$28)+IF(Finanzplan!S29&gt;0,(Finanzplan!S29+Finanzplan!T29/2.402)*Finanzplan!B29,(+Finanzplan!Q29+Finanzplan!R29+Finanzplan!S29/2)*Finanzplan!$B$29)+Finanzplan!S37*Finanzplan!$C$37</f>
        <v>0</v>
      </c>
      <c r="T38" s="26">
        <f>IF(Finanzplan!T28&gt;0,(Finanzplan!T28-Finanzplan!T28/(Finanzplan!C28-0.458333333333333)/2.402)*Finanzplan!B28,(Finanzplan!Q28+Finanzplan!R28+Finanzplan!S28+Finanzplan!T28/2)*Finanzplan!$B$28)+IF(Finanzplan!T29&gt;0,(Finanzplan!T29-Finanzplan!T29/(Finanzplan!C29-0.458333333333333)/2.402)*Finanzplan!B29,(Finanzplan!Q29+Finanzplan!R29+Finanzplan!S29+Finanzplan!T29/2)*Finanzplan!$B$29)+Finanzplan!T37*Finanzplan!$C$37</f>
        <v>0</v>
      </c>
    </row>
    <row r="39" spans="1:21" ht="15" customHeight="1" x14ac:dyDescent="0.2">
      <c r="A39" s="289" t="s">
        <v>55</v>
      </c>
      <c r="B39" s="312"/>
      <c r="C39" s="286"/>
      <c r="D39" s="270">
        <f>ROUND((IF(Q39=0,0,IF(Q39&gt;0,1,-1)*(R39/(Q39/(COUNTIF(E39:P39,"&gt;0")+COUNTIF(E39:P39,"&lt;0"))*12)-1))+IF(R39=0,0,IF(R39&gt;0,1,-1)*(S39/R39-1))+IF(S39=0,0,IF(S39&gt;0,1,-1)*(T39/S39-1)))/3,2)</f>
        <v>0.68</v>
      </c>
      <c r="E39" s="219">
        <f>E15+SUM(E21:E38)</f>
        <v>0</v>
      </c>
      <c r="F39" s="66">
        <f t="shared" ref="F39:O39" si="21">F15+SUM(F21:F38)</f>
        <v>0</v>
      </c>
      <c r="G39" s="66">
        <f t="shared" si="21"/>
        <v>0</v>
      </c>
      <c r="H39" s="66">
        <f t="shared" si="21"/>
        <v>0</v>
      </c>
      <c r="I39" s="66">
        <f t="shared" si="21"/>
        <v>0</v>
      </c>
      <c r="J39" s="66">
        <f t="shared" si="21"/>
        <v>0</v>
      </c>
      <c r="K39" s="66">
        <f t="shared" si="21"/>
        <v>0</v>
      </c>
      <c r="L39" s="66">
        <f t="shared" si="21"/>
        <v>2320</v>
      </c>
      <c r="M39" s="66">
        <f>M15+SUM(M21:M38)</f>
        <v>1970</v>
      </c>
      <c r="N39" s="66">
        <f t="shared" si="21"/>
        <v>2020</v>
      </c>
      <c r="O39" s="66">
        <f t="shared" si="21"/>
        <v>2070</v>
      </c>
      <c r="P39" s="67">
        <f>P15+SUM(P21:P38)</f>
        <v>2520</v>
      </c>
      <c r="Q39" s="62">
        <f t="shared" si="10"/>
        <v>10900</v>
      </c>
      <c r="R39" s="62">
        <f>R15+SUM(R21:R38)</f>
        <v>53740</v>
      </c>
      <c r="S39" s="62">
        <f>S15+SUM(S21:S38)</f>
        <v>67840</v>
      </c>
      <c r="T39" s="62">
        <f>T15+SUM(T21:T38)</f>
        <v>116380</v>
      </c>
    </row>
    <row r="40" spans="1:21" ht="15" customHeight="1" x14ac:dyDescent="0.2">
      <c r="A40" s="236" t="s">
        <v>22</v>
      </c>
      <c r="B40" s="332"/>
      <c r="C40" s="333"/>
      <c r="D40" s="257">
        <f ca="1">(IF(Q40=0,0,IF(Q40&gt;0,1,-1)*(R40/(Q40/(COUNTIF(E40:P40,"&gt;0")+COUNTIF(E40:P40,"&lt;0"))*12)-1))+IF(R40=0,0,IF(R40&gt;0,1,-1)*(S40/R40-1))+IF(S40=0,0,IF(S40&gt;0,1,-1)*(T40/S40-1)))/3</f>
        <v>1.7591647175935794</v>
      </c>
      <c r="E40" s="68">
        <f>IF(Basisdaten!E$7&lt;2,E13-E39,0)</f>
        <v>0</v>
      </c>
      <c r="F40" s="69">
        <f>IF(Basisdaten!$E$7&lt;3,IF(Basisdaten!$E$7=2,SUM($E13:F13)-SUM($E39:F39),F13-F39),0)</f>
        <v>0</v>
      </c>
      <c r="G40" s="69">
        <f>IF(Basisdaten!$E$7&lt;4,IF(Basisdaten!$E$7=3,SUM($E13:G13)-SUM($E39:G39),G13-G39),0)</f>
        <v>0</v>
      </c>
      <c r="H40" s="69">
        <f>IF(Basisdaten!$E$7&lt;5,IF(Basisdaten!$E$7=4,SUM($E13:H13)-SUM($E39:H39),H13-H39),0)</f>
        <v>0</v>
      </c>
      <c r="I40" s="69">
        <f>IF(Basisdaten!$E$7&lt;6,IF(Basisdaten!$E$7=5,SUM($E13:I13)-SUM($E39:I39),I13-I39),0)</f>
        <v>0</v>
      </c>
      <c r="J40" s="69">
        <f>IF(Basisdaten!$E$7&lt;7,IF(Basisdaten!$E$7=6,SUM($E13:J13)-SUM($E39:J39),J13-J39),0)</f>
        <v>0</v>
      </c>
      <c r="K40" s="69">
        <f>IF(Basisdaten!$E$7&lt;8,IF(Basisdaten!$E$7=7,SUM($E13:K13)-SUM($E39:K39),K13-K39),0)</f>
        <v>0</v>
      </c>
      <c r="L40" s="69">
        <f ca="1">IF(Basisdaten!$E$7&lt;9,IF(Basisdaten!$E$7=8,SUM($E13:L13)-SUM($E39:L39),L13-L39),0)</f>
        <v>-2320</v>
      </c>
      <c r="M40" s="69">
        <f ca="1">IF(Basisdaten!$E$7&lt;10,IF(Basisdaten!$E$7=9,SUM($E13:M13)-SUM($E39:M39),M13-M39),0)</f>
        <v>-1970</v>
      </c>
      <c r="N40" s="69">
        <f ca="1">IF(Basisdaten!$E$7&lt;11,IF(Basisdaten!$E$7=10,SUM($E13:N13)-SUM($E39:N39),N13-N39),0)</f>
        <v>-2020</v>
      </c>
      <c r="O40" s="69">
        <f ca="1">IF(Basisdaten!$E$7&lt;12,IF(Basisdaten!$E$7=11,SUM($E13:O13)-SUM($E39:O39),O13-O39),0)</f>
        <v>-2070</v>
      </c>
      <c r="P40" s="70">
        <f ca="1">IF(Basisdaten!$E$7&lt;13,IF(Basisdaten!$E$7=12,SUM($E13:P13)-SUM($E39:P39),P13-P39),0)</f>
        <v>-2520</v>
      </c>
      <c r="Q40" s="62">
        <f ca="1">SUM(E40:P40)</f>
        <v>-10900</v>
      </c>
      <c r="R40" s="71">
        <f ca="1">R13-R39</f>
        <v>17060</v>
      </c>
      <c r="S40" s="71">
        <f ca="1">S13-S39</f>
        <v>73760</v>
      </c>
      <c r="T40" s="71">
        <f ca="1">T13-T39</f>
        <v>96020</v>
      </c>
    </row>
    <row r="41" spans="1:21" ht="15" customHeight="1" x14ac:dyDescent="0.2">
      <c r="A41" s="328" t="s">
        <v>53</v>
      </c>
      <c r="B41" s="317"/>
      <c r="C41" s="318"/>
      <c r="D41" s="269">
        <f ca="1">(IF(Q41=0,0,IF(Q41&gt;0,1,-1)*(R41/(Q41/(13-Basisdaten!C$10)*12)-1))+IF(R41=0,0,IF(R41&gt;0,1,-1)*(S41/R41-1))+IF(S41=0,0,IF(S41&gt;0,1,-1)*(T41/S41-1)))/3</f>
        <v>-0.33333333333333331</v>
      </c>
      <c r="E41" s="179"/>
      <c r="F41" s="77"/>
      <c r="G41" s="78"/>
      <c r="H41" s="77"/>
      <c r="I41" s="77"/>
      <c r="J41" s="78"/>
      <c r="K41" s="77"/>
      <c r="L41" s="77"/>
      <c r="M41" s="78"/>
      <c r="N41" s="77"/>
      <c r="O41" s="77"/>
      <c r="P41" s="206"/>
      <c r="Q41" s="238">
        <f ca="1">IF(AND(Q40&gt;0,B40&lt;0),IF(Q40*75%&lt;-B40,Q40*75%,-B40),0)</f>
        <v>0</v>
      </c>
      <c r="R41" s="239">
        <f ca="1">IF(AND(R40&gt;0,OR(B40&lt;0,Q40&lt;0)),IF(R40*75%&lt;-IF(B40&lt;0,B40,0)-IF(Q40&lt;0,Q40,0)-Q41,R40*75%,-IF(B40&lt;0,B40,0)-IF(Q40&lt;0,Q40,0)-Q41),0)</f>
        <v>10900</v>
      </c>
      <c r="S41" s="239">
        <f ca="1">IF(AND(S40&gt;0,OR(B40&lt;0,Q40&lt;0,R40&lt;0)),IF(S40*75%&lt;-IF(B40&lt;0,B40,0)-IF(Q40&lt;0,Q40,0)-IF(R40&lt;0,R40,0)-Q41-R41,S40*75%,-IF(B40&lt;0,B40,0)-IF(Q40&lt;0,Q40,0)-IF(R40&lt;0,R40,0)-Q41-R41),0)</f>
        <v>0</v>
      </c>
      <c r="T41" s="239">
        <f ca="1">IF(AND(T40&gt;0,OR(B40&lt;0,Q40&lt;0,R40&lt;0,S40&lt;0)),IF(T40*75%&lt;-IF(B40&lt;0,B40,0)-IF(Q40&lt;0,Q40,0)-IF(R40&lt;0,R40,0)-IF(S40&lt;0,S40,0)-Q41-R41-S41,T40*75%,-IF(B40&lt;0,B40,0)-IF(Q40&lt;0,Q40,0)-IF(R40&lt;0,R40,0)-IF(S40&lt;0,S40,0)-Q41-R41-S41),0)</f>
        <v>0</v>
      </c>
      <c r="U41" s="237"/>
    </row>
    <row r="42" spans="1:21" ht="15" customHeight="1" x14ac:dyDescent="0.2">
      <c r="A42" s="311" t="s">
        <v>72</v>
      </c>
      <c r="B42" s="312"/>
      <c r="C42" s="286"/>
      <c r="D42" s="265">
        <f ca="1">(IF(Q42=0,0,IF(Q42&gt;0,1,-1)*(R42/(Q42/(13-Basisdaten!C$10)*12)-1))+IF(R42=0,0,IF(R42&gt;0,1,-1)*(S42/R42-1))+IF(S42=0,0,IF(S42&gt;0,1,-1)*(T42/S42-1)))/3</f>
        <v>4.9190027839196686</v>
      </c>
      <c r="E42" s="77"/>
      <c r="F42" s="77">
        <f>IF(Basisdaten!E$7&lt;4,Q42/(13-Basisdaten!E$7)*(4-Basisdaten!E$7),0)</f>
        <v>0</v>
      </c>
      <c r="G42" s="78"/>
      <c r="H42" s="79"/>
      <c r="I42" s="77">
        <f>IF(Basisdaten!E$7&lt;4,Q42/(13-Basisdaten!E$7)*3,IF(Basisdaten!E$7&lt;7,Q42/(13-Basisdaten!E$7)*(7-Basisdaten!E$7),0))</f>
        <v>0</v>
      </c>
      <c r="J42" s="78"/>
      <c r="K42" s="79"/>
      <c r="L42" s="77">
        <f ca="1">IF(Basisdaten!E$7&lt;7,Q42/(13-Basisdaten!E$7)*3,IF(Basisdaten!E$7&lt;10,Q42/(13-Basisdaten!E$7)*(10-Basisdaten!E$7),0))</f>
        <v>83.333333333333329</v>
      </c>
      <c r="M42" s="78"/>
      <c r="N42" s="79"/>
      <c r="O42" s="77">
        <f ca="1">IF(Basisdaten!E$7&lt;10,Q42/(13-Basisdaten!E$7)*3,IF(Basisdaten!E$7&lt;13,Q42/(13-Basisdaten!E$7)*(13-Basisdaten!E$7),0))</f>
        <v>125</v>
      </c>
      <c r="P42" s="80"/>
      <c r="Q42" s="32">
        <f ca="1">Q51</f>
        <v>208.33333333333331</v>
      </c>
      <c r="R42" s="32">
        <f ca="1">R51</f>
        <v>1208.4666666666667</v>
      </c>
      <c r="S42" s="32">
        <f ca="1">S51</f>
        <v>16964.8</v>
      </c>
      <c r="T42" s="32">
        <f ca="1">T51</f>
        <v>22084.600000000002</v>
      </c>
    </row>
    <row r="43" spans="1:21" ht="15" customHeight="1" thickBot="1" x14ac:dyDescent="0.25">
      <c r="A43" s="299" t="s">
        <v>79</v>
      </c>
      <c r="B43" s="315"/>
      <c r="C43" s="315"/>
      <c r="D43" s="272">
        <f ca="1">(IF(Q43=0,0,IF(Q43&gt;0,1,-1)*(R43/(Q43/(13-Basisdaten!C$10)*12)-1))+IF(R43=0,0,IF(R43&gt;0,1,-1)*(S43/R43-1))+IF(S43=0,0,IF(S43&gt;0,1,-1)*(T43/S43-1)))/3</f>
        <v>1.4931058310946657</v>
      </c>
      <c r="E43" s="217"/>
      <c r="F43" s="81">
        <f>SUM(E40:G40)-F42</f>
        <v>0</v>
      </c>
      <c r="G43" s="82"/>
      <c r="H43" s="83"/>
      <c r="I43" s="81">
        <f>SUM(H40:J40)-I42</f>
        <v>0</v>
      </c>
      <c r="J43" s="82"/>
      <c r="K43" s="83"/>
      <c r="L43" s="81">
        <f ca="1">SUM(K40:M40)-L42</f>
        <v>-4373.333333333333</v>
      </c>
      <c r="M43" s="82"/>
      <c r="N43" s="83"/>
      <c r="O43" s="81">
        <f ca="1">SUM(N40:P40)-O42</f>
        <v>-6735</v>
      </c>
      <c r="P43" s="84"/>
      <c r="Q43" s="85">
        <f ca="1">Q40-Q42</f>
        <v>-11108.333333333334</v>
      </c>
      <c r="R43" s="85">
        <f ca="1">R40-R42</f>
        <v>15851.533333333333</v>
      </c>
      <c r="S43" s="85">
        <f ca="1">S40-S42</f>
        <v>56795.199999999997</v>
      </c>
      <c r="T43" s="85">
        <f ca="1">T40-T42</f>
        <v>73935.399999999994</v>
      </c>
    </row>
    <row r="44" spans="1:21" ht="15" customHeight="1" thickBot="1" x14ac:dyDescent="0.25">
      <c r="A44" s="309" t="s">
        <v>77</v>
      </c>
      <c r="B44" s="310"/>
      <c r="C44" s="310"/>
      <c r="D44" s="273">
        <f ca="1">(IF(Q44=0,0,IF(Q44&gt;0,1,-1)*(R44/(Q44/(13-Basisdaten!C$10)*12)-1))+IF(R44=0,0,IF(R44&gt;0,1,-1)*(S44/R44-1))+IF(S44=0,0,IF(S44&gt;0,1,-1)*(T44/S44-1)))/3</f>
        <v>1.3774928306223255</v>
      </c>
      <c r="E44" s="88"/>
      <c r="F44" s="86">
        <f>IF(Basisdaten!E$7&lt;4,F43/(4-Basisdaten!E$7),0)</f>
        <v>0</v>
      </c>
      <c r="G44" s="87"/>
      <c r="H44" s="88"/>
      <c r="I44" s="86">
        <f>IF(Basisdaten!$E$7&lt;4,I43/3,IF(Basisdaten!$E$7&lt;7,I43/(7-Basisdaten!$E$7),0))</f>
        <v>0</v>
      </c>
      <c r="J44" s="87"/>
      <c r="K44" s="88"/>
      <c r="L44" s="86">
        <f ca="1">IF(Basisdaten!$E$7&lt;7,L43/3,IF(Basisdaten!$E$7&lt;10,L43/(10-Basisdaten!$E$7),0))</f>
        <v>-2186.6666666666665</v>
      </c>
      <c r="M44" s="87"/>
      <c r="N44" s="88"/>
      <c r="O44" s="86">
        <f ca="1">IF(Basisdaten!$E$7&lt;10,O43/3,O43/(13-Basisdaten!$E$7))</f>
        <v>-2245</v>
      </c>
      <c r="P44" s="88"/>
      <c r="Q44" s="89">
        <f ca="1">Q43/(13-Basisdaten!C10)</f>
        <v>-2221.666666666667</v>
      </c>
      <c r="R44" s="89">
        <f ca="1">R43/12</f>
        <v>1320.961111111111</v>
      </c>
      <c r="S44" s="89">
        <f ca="1">S43/12</f>
        <v>4732.9333333333334</v>
      </c>
      <c r="T44" s="89">
        <f ca="1">T43/12</f>
        <v>6161.2833333333328</v>
      </c>
    </row>
    <row r="45" spans="1:21" ht="15" customHeight="1" x14ac:dyDescent="0.2">
      <c r="A45" s="307" t="s">
        <v>76</v>
      </c>
      <c r="B45" s="308"/>
      <c r="C45" s="286"/>
      <c r="D45" s="271">
        <f ca="1">(IF(Q45=0,0,IF(Q45&gt;0,1,-1)*(R45/(Q45/(13-Basisdaten!C$10)*12)-1))+IF(R45=0,0,IF(R45&gt;0,1,-1)*(S45/R45-1))+IF(S45=0,0,IF(S45&gt;0,1,-1)*(T45/S45-1)))/3</f>
        <v>3.9913419913419919</v>
      </c>
      <c r="E45" s="205"/>
      <c r="F45" s="204"/>
      <c r="G45" s="218"/>
      <c r="H45" s="205"/>
      <c r="I45" s="204"/>
      <c r="J45" s="218"/>
      <c r="K45" s="205"/>
      <c r="L45" s="204"/>
      <c r="M45" s="218"/>
      <c r="N45" s="205"/>
      <c r="O45" s="204"/>
      <c r="P45" s="205"/>
      <c r="Q45" s="203"/>
      <c r="R45" s="202">
        <f ca="1">IF(Q43&gt;0,Q43,0)</f>
        <v>0</v>
      </c>
      <c r="S45" s="202">
        <f ca="1">IF(SUM(Q43:R43)-IF(R46&lt;R45,R46,R45)&gt;0,SUM(Q43:R43)-IF(R46&lt;R45,R46,R45),0)</f>
        <v>4743.1999999999989</v>
      </c>
      <c r="T45" s="202">
        <f ca="1">IF(SUM(Q43:S43)-IF(R46&lt;R45,R46,R45)-IF(S46&lt;S45,S46,S45)&gt;0,SUM(Q43:S43)-IF(R46&lt;R45,R46,R45)-IF(S46&lt;S45,S46,S45),0)</f>
        <v>61538.399999999994</v>
      </c>
    </row>
    <row r="46" spans="1:21" ht="15" customHeight="1" x14ac:dyDescent="0.2">
      <c r="A46" s="307" t="s">
        <v>74</v>
      </c>
      <c r="B46" s="308"/>
      <c r="C46" s="286"/>
      <c r="D46" s="265">
        <f>(IF(Q46=0,0,IF(Q46&gt;0,1,-1)*(R46/(Q46/(13-Basisdaten!C$10)*12)-1))+IF(R46=0,0,IF(R46&gt;0,1,-1)*(S46/R46-1))+IF(S46=0,0,IF(S46&gt;0,1,-1)*(T46/S46-1)))/3</f>
        <v>0</v>
      </c>
      <c r="E46" s="179"/>
      <c r="F46" s="200"/>
      <c r="G46" s="219"/>
      <c r="H46" s="179"/>
      <c r="I46" s="200"/>
      <c r="J46" s="219"/>
      <c r="K46" s="179"/>
      <c r="L46" s="200"/>
      <c r="M46" s="219"/>
      <c r="N46" s="179"/>
      <c r="O46" s="200"/>
      <c r="P46" s="179"/>
      <c r="Q46" s="201"/>
      <c r="R46" s="227"/>
      <c r="S46" s="227"/>
      <c r="T46" s="227"/>
    </row>
    <row r="47" spans="1:21" ht="15" customHeight="1" x14ac:dyDescent="0.2">
      <c r="A47" s="307" t="s">
        <v>75</v>
      </c>
      <c r="B47" s="308"/>
      <c r="C47" s="286"/>
      <c r="D47" s="265">
        <f ca="1">(IF(Q47=0,0,IF(Q47&gt;0,1,-1)*(R47/(Q47/(13-Basisdaten!C$10)*12)-1))+IF(R47=0,0,IF(R47&gt;0,1,-1)*(S47/R47-1))+IF(S47=0,0,IF(S47&gt;0,1,-1)*(T47/S47-1)))/3</f>
        <v>0</v>
      </c>
      <c r="E47" s="179"/>
      <c r="F47" s="200"/>
      <c r="G47" s="219"/>
      <c r="H47" s="179"/>
      <c r="I47" s="200"/>
      <c r="J47" s="219"/>
      <c r="K47" s="179"/>
      <c r="L47" s="200"/>
      <c r="M47" s="219"/>
      <c r="N47" s="179"/>
      <c r="O47" s="200"/>
      <c r="P47" s="179"/>
      <c r="Q47" s="201"/>
      <c r="R47" s="71">
        <f ca="1">IF(R46&lt;R45,R46*27.5%,R45*27.5%)</f>
        <v>0</v>
      </c>
      <c r="S47" s="71">
        <f ca="1">IF(S46&lt;S45,S46*27.5%,S45*27.5%)</f>
        <v>0</v>
      </c>
      <c r="T47" s="71">
        <f ca="1">IF(T46&lt;T45,T46*27.5%,T45*27.5%)</f>
        <v>0</v>
      </c>
    </row>
    <row r="48" spans="1:21" s="50" customFormat="1" ht="15" customHeight="1" x14ac:dyDescent="0.2">
      <c r="A48" s="304" t="s">
        <v>78</v>
      </c>
      <c r="B48" s="305"/>
      <c r="C48" s="306"/>
      <c r="D48" s="269">
        <f ca="1">(IF(Q48=0,0,IF(Q48&gt;0,1,-1)*(R48/(Q48/(13-Basisdaten!C$10)*12)-1))+IF(R48=0,0,IF(R48&gt;0,1,-1)*(S48/R48-1))+IF(S48=0,0,IF(S48&gt;0,1,-1)*(T48/S48-1)))/3</f>
        <v>0</v>
      </c>
      <c r="E48" s="208"/>
      <c r="F48" s="207"/>
      <c r="G48" s="220"/>
      <c r="H48" s="208"/>
      <c r="I48" s="207"/>
      <c r="J48" s="220"/>
      <c r="K48" s="208"/>
      <c r="L48" s="207"/>
      <c r="M48" s="220"/>
      <c r="N48" s="208"/>
      <c r="O48" s="207"/>
      <c r="P48" s="208"/>
      <c r="Q48" s="210"/>
      <c r="R48" s="209">
        <f ca="1">IF(R46&lt;=R45,R46-R47,R45-R47)</f>
        <v>0</v>
      </c>
      <c r="S48" s="209">
        <f ca="1">IF(S46&lt;=S45,S46-S47,S45-S47)</f>
        <v>0</v>
      </c>
      <c r="T48" s="209">
        <f ca="1">IF(T46&lt;=T45,T46-T47,T45-T47)</f>
        <v>0</v>
      </c>
    </row>
    <row r="49" spans="1:20" s="50" customFormat="1" ht="15" customHeight="1" thickBot="1" x14ac:dyDescent="0.25">
      <c r="A49" s="234" t="s">
        <v>73</v>
      </c>
      <c r="B49" s="313"/>
      <c r="C49" s="314"/>
      <c r="D49" s="256">
        <f ca="1">(IF(Q49=0,0,IF(Q49&gt;0,1,-1)*(R49/(Q49/(13-Basisdaten!C$10)*12)-1))+IF(R49=0,0,IF(R49&gt;0,1,-1)*(S49/R49-1))+IF(S49=0,0,IF(S49&gt;0,1,-1)*(T49/S49-1)))/3</f>
        <v>4.7844639680323588</v>
      </c>
      <c r="E49" s="81"/>
      <c r="F49" s="81">
        <f>B49+F43</f>
        <v>0</v>
      </c>
      <c r="G49" s="215"/>
      <c r="H49" s="217"/>
      <c r="I49" s="81">
        <f>F49+I43</f>
        <v>0</v>
      </c>
      <c r="J49" s="82"/>
      <c r="K49" s="217"/>
      <c r="L49" s="81">
        <f ca="1">I49+L43</f>
        <v>-4373.333333333333</v>
      </c>
      <c r="M49" s="82"/>
      <c r="N49" s="217"/>
      <c r="O49" s="81">
        <f ca="1">L49+O43</f>
        <v>-11108.333333333332</v>
      </c>
      <c r="P49" s="84"/>
      <c r="Q49" s="216">
        <f ca="1">O49</f>
        <v>-11108.333333333332</v>
      </c>
      <c r="R49" s="199">
        <f ca="1">Q49+R43-IF(R46&lt;R45,R46,R45)</f>
        <v>4743.2000000000007</v>
      </c>
      <c r="S49" s="199">
        <f ca="1">R49+S43-IF(S46&lt;S45,S46,S45)</f>
        <v>61538.399999999994</v>
      </c>
      <c r="T49" s="199">
        <f ca="1">S49+T43-IF(T46&lt;T45,T46,T45)</f>
        <v>135473.79999999999</v>
      </c>
    </row>
    <row r="50" spans="1:20" ht="15" customHeight="1" x14ac:dyDescent="0.2">
      <c r="A50" s="316" t="s">
        <v>71</v>
      </c>
      <c r="B50" s="317"/>
      <c r="C50" s="318"/>
      <c r="D50" s="267"/>
      <c r="E50" s="211"/>
      <c r="F50" s="211">
        <f>IF(Basisdaten!E$7&lt;4,Q50/(13-Basisdaten!E$7)*(4-Basisdaten!E$7),0)</f>
        <v>0</v>
      </c>
      <c r="G50" s="212"/>
      <c r="H50" s="213"/>
      <c r="I50" s="211">
        <f>IF(Basisdaten!E$7&lt;4,Q50/(13-Basisdaten!E$7)*3,IF(Basisdaten!E$7&lt;7,Q50/(13-Basisdaten!E$7)*(7-Basisdaten!E$7),0))</f>
        <v>0</v>
      </c>
      <c r="J50" s="212"/>
      <c r="K50" s="213"/>
      <c r="L50" s="211">
        <f>IF(Basisdaten!E$7&lt;7,Q50/(13-Basisdaten!E$7)*3,IF(Basisdaten!E$7&lt;10,Q50/(13-Basisdaten!E$7)*(10-Basisdaten!E$7),0))</f>
        <v>83.333333333333329</v>
      </c>
      <c r="M50" s="212"/>
      <c r="N50" s="213"/>
      <c r="O50" s="211">
        <f>IF(Basisdaten!E$7&lt;10,Q50/(13-Basisdaten!E$7)*3,IF(Basisdaten!E$7&lt;13,Q50/(13-Basisdaten!E$7)*(13-Basisdaten!E$7),0))</f>
        <v>125</v>
      </c>
      <c r="P50" s="214"/>
      <c r="Q50" s="91">
        <f>500/12*(13-Basisdaten!C10)</f>
        <v>208.33333333333331</v>
      </c>
      <c r="R50" s="91">
        <f ca="1">Q51-Q42+IF((Q40-Q41)*23%&lt;=500/12*(13-Basisdaten!C10),500,(Q40-Q41)*23%*1.04/(13-Basisdaten!C10)*12)</f>
        <v>500</v>
      </c>
      <c r="S50" s="91">
        <f ca="1">R51-(R42-(Q51-Q42))+IF((R40-R41)*23%&lt;=500,500,(R40-R41)*23%*1.04)</f>
        <v>1473.472</v>
      </c>
      <c r="T50" s="91">
        <f ca="1">S51-(S42-(R51-(R42-(Q51-Q42))))+IF((S40-S41)*23%&lt;=500,500,(S40-S41)*23%*1.04)</f>
        <v>17643.392</v>
      </c>
    </row>
    <row r="51" spans="1:20" ht="15" customHeight="1" x14ac:dyDescent="0.2">
      <c r="A51" s="311" t="s">
        <v>69</v>
      </c>
      <c r="B51" s="312"/>
      <c r="C51" s="286"/>
      <c r="D51" s="266"/>
      <c r="E51" s="77"/>
      <c r="F51" s="92">
        <f>IF(Basisdaten!E$7&lt;4,Q51/(13-Basisdaten!E$7)*(4-Basisdaten!E$7),0)</f>
        <v>0</v>
      </c>
      <c r="G51" s="78"/>
      <c r="H51" s="77"/>
      <c r="I51" s="92">
        <f>IF(Basisdaten!E$7&lt;4,Q51/(13-Basisdaten!E$7)*3,IF(Basisdaten!E$7&lt;7,Q51/(13-Basisdaten!E$7)*(7-Basisdaten!E$7),0))</f>
        <v>0</v>
      </c>
      <c r="J51" s="78"/>
      <c r="K51" s="77"/>
      <c r="L51" s="92">
        <f ca="1">IF(Basisdaten!E$7&lt;7,Q51/(13-Basisdaten!E$7)*3,IF(Basisdaten!E$7&lt;10,Q51/(13-Basisdaten!E$7)*(10-Basisdaten!E$7),0))</f>
        <v>83.333333333333329</v>
      </c>
      <c r="M51" s="78"/>
      <c r="N51" s="77"/>
      <c r="O51" s="92">
        <f ca="1">IF(Basisdaten!E$7&lt;10,Q51/(13-Basisdaten!E$7)*3,IF(Basisdaten!E$7&lt;13,Q51/(13-Basisdaten!E$7)*(13-Basisdaten!E$7),0))</f>
        <v>125</v>
      </c>
      <c r="P51" s="80"/>
      <c r="Q51" s="91">
        <f ca="1">IF((Q40-Q41)*23%&lt;500/12*(13-Basisdaten!C10),500/12*(13-Basisdaten!C10),(Q40-Q41)*23%)</f>
        <v>208.33333333333331</v>
      </c>
      <c r="R51" s="91">
        <f ca="1">IF((R40-R41)*23%&lt;500,500,(R40-R41)*23%-IF((Q40-Q41)*23%-Q42&lt;0,IF((R40-R41)*23%-500&lt;Q42-IF((Q40-Q41)&lt;0,0,(Q40-Q41)*23%),(R40-R41)*23%-500,Q42-IF((Q40-Q41)&lt;0,0,(Q40-Q41)*23%)),0))</f>
        <v>1208.4666666666667</v>
      </c>
      <c r="S51" s="91">
        <f ca="1">IF((S40-S41)*23%&lt;500,500,(S40-S41)*23%-IF(OR((Q40-Q41)*23%-Q42&lt;0,(R40-R41)*23%-R42&lt;0),
IF((S40-S41)*23%-500&lt;IF((Q40-Q41)*23%-Q42&lt;0,Q42-IF((Q40-Q41)&lt;0,0,(Q40-Q41)*23%)
+IF((R40-R41)*23%-R42&lt;0,R42-IF((R40-R41)&lt;0,0,(R40-R41)*23%),
IF(Q42-IF((Q40-Q41)&lt;0,0,(Q40-Q41)*23%)&gt;(R40-R41)*23%-R42,-((R40-R41)*23%-R42),-(Q42-IF((Q40-Q41)&lt;0,0,(Q40-Q41)*23%)))),
R42-IF((R40-R41)&lt;0,0,(R40-R41)*23%)),
(S40-S41)*23%-500,IF((Q40-Q41)*23%-Q42&lt;0,Q42-IF((Q40-Q41)&lt;0,0,(Q40-Q41)*23%)
+IF((R40-R41)*23%-R42&lt;0,R42-IF((R40-R41)&lt;0,0,(R40-R41)*23%),
IF(Q42-IF((Q40-Q41)&lt;0,0,(Q40-Q41)*23%)&gt;(R40-R41)*23%-R42,-((R40-R41)*23%-R42),-(Q42-IF((Q40-Q41)&lt;0,0,(Q40-Q41)*23%)))),
R42-IF((R40-R41)&lt;0,0,(R40-R41)*23%))),0))</f>
        <v>16964.8</v>
      </c>
      <c r="T51" s="91">
        <f ca="1">IF((T40-T41)*23%&lt;500,500,(T40-T41)*23%-
IF((T40-T41)*23%-500&lt;
IF((Q40-Q41)*23%-Q42&lt;0,Q42-IF((Q40-Q41)&lt;0,0,(Q40-Q41)*23%),0)
+IF((R40-R41)*23%-R42&lt;0,R42-IF((R40-R41)&lt;0,0,(R40-R41)*23%),
IF((Q40-Q41)*23%-Q42&lt;0,
IF(Q42-IF((Q40-Q41)&lt;0,0,(Q40-Q41)*23%)&gt;(R40-R41)*23%-R42,-((R40-R41)*23%-R42),
-(Q42-IF((Q40-Q41)&lt;0,0,(Q40-Q41)*23%)))))
+IF((S40-S41)*23%-S42&lt;0,S42-IF((S40-S41)&lt;0,0,(S40-S41)*23%),
IF((R40-R41)*23%-R42&lt;0,
IF(Q42-IF((Q40-Q41)&lt;0,0,(Q40-Q41)*23%)+R42-IF((R40-R41)&lt;0,0,(R40-R41)*23%)&gt;(S40-S41)*23%-S42,
-((S40-S41)*23%-S42),
-(Q42-IF((Q40-Q41)&lt;0,0,(Q40-Q41)*23%)+R42-IF((R40-R41)&lt;0,0,(R40-R41)*23%))),
0)),
(T40-T41)*23%-500,
IF((Q40-Q41)*23%-Q42&lt;0,Q42-IF((Q40-Q41)&lt;0,0,(Q40-Q41)*23%),0)
+IF((R40-R41)*23%-R42&lt;0,R42-IF((R40-R41)&lt;0,0,(R40-R41)*23%),
IF((Q40-Q41)*23%-Q42&lt;0,
IF(Q42-IF((Q40-Q41)&lt;0,0,(Q40-Q41)*23%)&gt;(R40-R41)*23%-R42,-((R40-R41)*23%-R42),
-(Q42-IF((Q40-Q41)&lt;0,0,(Q40-Q41)*23%)))))
+IF((S40-S41)*23%-S42&lt;0,S42-IF((S40-S41)&lt;0,0,(S40-S41)*23%),
IF((R40-R41)*23%-R42&lt;0,
IF(Q42-IF((Q40-Q41)&lt;0,0,(Q40-Q41)*23%)+R42-IF((R40-R41)&lt;0,0,(R40-R41)*23%)&gt;(S40-S41)*23%-S42,
-((S40-S41)*23%-S42),
-(Q42-IF((Q40-Q41)&lt;0,0,(Q40-Q41)*23%)+R42-IF((R40-R41)&lt;0,0,(R40-R41)*23%))),
0))))</f>
        <v>22084.600000000002</v>
      </c>
    </row>
    <row r="52" spans="1:20" ht="15" customHeight="1" thickBot="1" x14ac:dyDescent="0.25">
      <c r="A52" s="299" t="s">
        <v>70</v>
      </c>
      <c r="B52" s="315"/>
      <c r="C52" s="315"/>
      <c r="D52" s="268"/>
      <c r="E52" s="198"/>
      <c r="F52" s="93">
        <f>F42-F51</f>
        <v>0</v>
      </c>
      <c r="G52" s="197"/>
      <c r="H52" s="198"/>
      <c r="I52" s="93">
        <f>F52+I42-I51</f>
        <v>0</v>
      </c>
      <c r="J52" s="197"/>
      <c r="K52" s="198"/>
      <c r="L52" s="93">
        <f ca="1">I52+L42-L51</f>
        <v>0</v>
      </c>
      <c r="M52" s="197"/>
      <c r="N52" s="198"/>
      <c r="O52" s="93">
        <f ca="1">L52+O42-O51</f>
        <v>0</v>
      </c>
      <c r="P52" s="191"/>
      <c r="Q52" s="199">
        <f ca="1">O52</f>
        <v>0</v>
      </c>
      <c r="R52" s="199">
        <f ca="1">Q52+R42-R51</f>
        <v>0</v>
      </c>
      <c r="S52" s="199">
        <f ca="1">R52+S42-S51</f>
        <v>0</v>
      </c>
      <c r="T52" s="199">
        <f ca="1">S52+T42-T51</f>
        <v>0</v>
      </c>
    </row>
    <row r="53" spans="1:20" ht="12.75" customHeight="1" x14ac:dyDescent="0.2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225">
        <f ca="1">Q43</f>
        <v>-11108.333333333334</v>
      </c>
      <c r="R53" s="225">
        <f ca="1">R43-IF(R46&lt;R45,R46,R45)</f>
        <v>15851.533333333333</v>
      </c>
      <c r="S53" s="225">
        <f ca="1">S43-IF(S46&lt;S45,S46,S45)</f>
        <v>56795.199999999997</v>
      </c>
      <c r="T53" s="225">
        <f ca="1">T43-IF(T46&lt;T45,T46,T45)</f>
        <v>73935.399999999994</v>
      </c>
    </row>
    <row r="54" spans="1:20" ht="12.75" customHeight="1" x14ac:dyDescent="0.2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</row>
    <row r="55" spans="1:20" ht="12.75" customHeight="1" x14ac:dyDescent="0.2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</row>
    <row r="56" spans="1:20" ht="12.75" customHeight="1" x14ac:dyDescent="0.2"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</row>
    <row r="57" spans="1:20" ht="12.75" customHeight="1" x14ac:dyDescent="0.2"/>
    <row r="58" spans="1:20" ht="12.75" customHeight="1" x14ac:dyDescent="0.2"/>
    <row r="59" spans="1:20" ht="12.75" customHeight="1" x14ac:dyDescent="0.2"/>
    <row r="60" spans="1:20" ht="12.75" customHeight="1" x14ac:dyDescent="0.2"/>
    <row r="61" spans="1:20" ht="12.75" customHeight="1" x14ac:dyDescent="0.2"/>
  </sheetData>
  <sheetProtection algorithmName="SHA-512" hashValue="uqjTxEf2+/A9f04LWAZJ0oBnNwvRFwOm10Jo+iqLR+DlPMRamhVhqjfzu6oTkuQrYmzMoFTznJ2MA69hELg/Og==" saltValue="mFMnl+NdkgkXqm/Of9fCRQ==" spinCount="100000" sheet="1" objects="1" scenarios="1"/>
  <mergeCells count="45">
    <mergeCell ref="B16:C16"/>
    <mergeCell ref="B17:C17"/>
    <mergeCell ref="A15:C15"/>
    <mergeCell ref="A7:C7"/>
    <mergeCell ref="A8:C8"/>
    <mergeCell ref="A10:C10"/>
    <mergeCell ref="A13:C13"/>
    <mergeCell ref="A14:C14"/>
    <mergeCell ref="A9:B9"/>
    <mergeCell ref="A11:C11"/>
    <mergeCell ref="A21:C21"/>
    <mergeCell ref="A22:C22"/>
    <mergeCell ref="A27:C27"/>
    <mergeCell ref="A28:C28"/>
    <mergeCell ref="A24:C24"/>
    <mergeCell ref="A25:C25"/>
    <mergeCell ref="A32:C32"/>
    <mergeCell ref="A33:C33"/>
    <mergeCell ref="A34:C34"/>
    <mergeCell ref="A46:C46"/>
    <mergeCell ref="A35:C35"/>
    <mergeCell ref="A39:C39"/>
    <mergeCell ref="A36:C36"/>
    <mergeCell ref="B40:C40"/>
    <mergeCell ref="A52:C52"/>
    <mergeCell ref="A43:C43"/>
    <mergeCell ref="A51:C51"/>
    <mergeCell ref="A50:C50"/>
    <mergeCell ref="B18:C18"/>
    <mergeCell ref="B19:C19"/>
    <mergeCell ref="B20:C20"/>
    <mergeCell ref="A37:C37"/>
    <mergeCell ref="A45:C45"/>
    <mergeCell ref="A38:C38"/>
    <mergeCell ref="A23:C23"/>
    <mergeCell ref="A26:C26"/>
    <mergeCell ref="A41:C41"/>
    <mergeCell ref="A29:C29"/>
    <mergeCell ref="A30:C30"/>
    <mergeCell ref="A31:C31"/>
    <mergeCell ref="A48:C48"/>
    <mergeCell ref="A47:C47"/>
    <mergeCell ref="A44:C44"/>
    <mergeCell ref="A42:C42"/>
    <mergeCell ref="B49:C49"/>
  </mergeCells>
  <phoneticPr fontId="0" type="noConversion"/>
  <conditionalFormatting sqref="D15:P20">
    <cfRule type="expression" dxfId="80" priority="12">
      <formula>AND(FÜ=0,Leer=FALSE)</formula>
    </cfRule>
  </conditionalFormatting>
  <conditionalFormatting sqref="E7:E13">
    <cfRule type="expression" dxfId="79" priority="573" stopIfTrue="1">
      <formula>$A$2&gt;1</formula>
    </cfRule>
  </conditionalFormatting>
  <conditionalFormatting sqref="E15:E40">
    <cfRule type="expression" dxfId="78" priority="39" stopIfTrue="1">
      <formula>$A$2&gt;1</formula>
    </cfRule>
  </conditionalFormatting>
  <conditionalFormatting sqref="E11:P11 R11:T11 B16:C20 E22:P38 R24:T26 R28:T32 R35:T35 R37:T38 B40:C40 Q42:T42 R46:T46 B49:C49">
    <cfRule type="expression" dxfId="77" priority="13">
      <formula>AND(FÜ=0,Leer=FALSE)</formula>
    </cfRule>
  </conditionalFormatting>
  <conditionalFormatting sqref="F7:F13">
    <cfRule type="expression" dxfId="76" priority="584" stopIfTrue="1">
      <formula>$A$2&gt;2</formula>
    </cfRule>
  </conditionalFormatting>
  <conditionalFormatting sqref="F15:F40">
    <cfRule type="expression" dxfId="75" priority="43" stopIfTrue="1">
      <formula>$A$2&gt;2</formula>
    </cfRule>
  </conditionalFormatting>
  <conditionalFormatting sqref="F50:G52">
    <cfRule type="expression" dxfId="74" priority="19" stopIfTrue="1">
      <formula>$A$2&gt;3</formula>
    </cfRule>
  </conditionalFormatting>
  <conditionalFormatting sqref="G7:G13 E41:G49 E50:E51 E52:G52">
    <cfRule type="expression" dxfId="73" priority="575" stopIfTrue="1">
      <formula>$A$2&gt;3</formula>
    </cfRule>
  </conditionalFormatting>
  <conditionalFormatting sqref="G15:G40">
    <cfRule type="expression" dxfId="72" priority="40" stopIfTrue="1">
      <formula>$A$2&gt;3</formula>
    </cfRule>
  </conditionalFormatting>
  <conditionalFormatting sqref="G41:H41 J7:J13 H51:H52 H52:J52">
    <cfRule type="expression" dxfId="71" priority="578" stopIfTrue="1">
      <formula>$A$2&gt;6</formula>
    </cfRule>
  </conditionalFormatting>
  <conditionalFormatting sqref="H7:H13">
    <cfRule type="expression" dxfId="70" priority="586" stopIfTrue="1">
      <formula>$A$2&gt;4</formula>
    </cfRule>
  </conditionalFormatting>
  <conditionalFormatting sqref="H15:H40">
    <cfRule type="expression" dxfId="69" priority="44" stopIfTrue="1">
      <formula>$A$2&gt;4</formula>
    </cfRule>
  </conditionalFormatting>
  <conditionalFormatting sqref="H42:J50">
    <cfRule type="expression" dxfId="68" priority="15" stopIfTrue="1">
      <formula>$A$2&gt;6</formula>
    </cfRule>
  </conditionalFormatting>
  <conditionalFormatting sqref="I7:I13">
    <cfRule type="expression" dxfId="67" priority="588" stopIfTrue="1">
      <formula>$A$2&gt;5</formula>
    </cfRule>
  </conditionalFormatting>
  <conditionalFormatting sqref="I15:I40">
    <cfRule type="expression" dxfId="66" priority="45" stopIfTrue="1">
      <formula>$A$2&gt;5</formula>
    </cfRule>
  </conditionalFormatting>
  <conditionalFormatting sqref="I41:J41">
    <cfRule type="expression" dxfId="65" priority="54" stopIfTrue="1">
      <formula>$A$2&gt;6</formula>
    </cfRule>
  </conditionalFormatting>
  <conditionalFormatting sqref="I51:J51">
    <cfRule type="expression" dxfId="64" priority="26" stopIfTrue="1">
      <formula>$A$2&gt;6</formula>
    </cfRule>
  </conditionalFormatting>
  <conditionalFormatting sqref="J15:J40">
    <cfRule type="expression" dxfId="63" priority="41" stopIfTrue="1">
      <formula>$A$2&gt;6</formula>
    </cfRule>
  </conditionalFormatting>
  <conditionalFormatting sqref="K7:K13">
    <cfRule type="expression" dxfId="62" priority="590" stopIfTrue="1">
      <formula>$A$2&gt;7</formula>
    </cfRule>
  </conditionalFormatting>
  <conditionalFormatting sqref="K15:K40">
    <cfRule type="expression" dxfId="61" priority="46" stopIfTrue="1">
      <formula>$A$2&gt;7</formula>
    </cfRule>
  </conditionalFormatting>
  <conditionalFormatting sqref="K41:L41">
    <cfRule type="expression" dxfId="60" priority="52" stopIfTrue="1">
      <formula>$A$2&gt;9</formula>
    </cfRule>
  </conditionalFormatting>
  <conditionalFormatting sqref="K42:M50">
    <cfRule type="expression" dxfId="59" priority="14" stopIfTrue="1">
      <formula>$A$2&gt;9</formula>
    </cfRule>
  </conditionalFormatting>
  <conditionalFormatting sqref="L7:L13">
    <cfRule type="expression" dxfId="58" priority="592" stopIfTrue="1">
      <formula>$A$2&gt;8</formula>
    </cfRule>
  </conditionalFormatting>
  <conditionalFormatting sqref="L15:L40">
    <cfRule type="expression" dxfId="57" priority="47" stopIfTrue="1">
      <formula>$A$2&gt;8</formula>
    </cfRule>
  </conditionalFormatting>
  <conditionalFormatting sqref="L51:M51">
    <cfRule type="expression" dxfId="56" priority="28" stopIfTrue="1">
      <formula>$A$2&gt;9</formula>
    </cfRule>
  </conditionalFormatting>
  <conditionalFormatting sqref="M7:M13 K51:K52 K52:M52">
    <cfRule type="expression" dxfId="55" priority="581" stopIfTrue="1">
      <formula>$A$2&gt;9</formula>
    </cfRule>
  </conditionalFormatting>
  <conditionalFormatting sqref="M15:M41">
    <cfRule type="expression" dxfId="54" priority="42" stopIfTrue="1">
      <formula>$A$2&gt;9</formula>
    </cfRule>
  </conditionalFormatting>
  <conditionalFormatting sqref="N7:N13">
    <cfRule type="expression" dxfId="53" priority="594" stopIfTrue="1">
      <formula>$A$2&gt;10</formula>
    </cfRule>
  </conditionalFormatting>
  <conditionalFormatting sqref="N15:N40">
    <cfRule type="expression" dxfId="52" priority="48" stopIfTrue="1">
      <formula>$A$2&gt;10</formula>
    </cfRule>
  </conditionalFormatting>
  <conditionalFormatting sqref="O7:O13">
    <cfRule type="expression" dxfId="51" priority="596" stopIfTrue="1">
      <formula>$A$2&gt;11</formula>
    </cfRule>
  </conditionalFormatting>
  <conditionalFormatting sqref="O15:O40">
    <cfRule type="expression" dxfId="50" priority="49" stopIfTrue="1">
      <formula>$A$2&gt;11</formula>
    </cfRule>
  </conditionalFormatting>
  <conditionalFormatting sqref="P7:P13">
    <cfRule type="expression" dxfId="49" priority="598" stopIfTrue="1">
      <formula>$A$2&gt;12</formula>
    </cfRule>
  </conditionalFormatting>
  <conditionalFormatting sqref="P15:P40">
    <cfRule type="expression" dxfId="48" priority="50" stopIfTrue="1">
      <formula>$A$2&gt;12</formula>
    </cfRule>
  </conditionalFormatting>
  <conditionalFormatting sqref="R23:R27">
    <cfRule type="expression" dxfId="47" priority="3">
      <formula>AND(FÜ=0,Leer=FALSE)</formula>
    </cfRule>
  </conditionalFormatting>
  <conditionalFormatting sqref="R33:R34">
    <cfRule type="expression" dxfId="46" priority="2">
      <formula>AND(FÜ=0,Leer=FALSE)</formula>
    </cfRule>
  </conditionalFormatting>
  <conditionalFormatting sqref="R36">
    <cfRule type="expression" dxfId="45" priority="1">
      <formula>AND(FÜ=0,Leer=FALSE)</formula>
    </cfRule>
  </conditionalFormatting>
  <conditionalFormatting sqref="R15:T19 S20:T20 D22:D36">
    <cfRule type="expression" dxfId="44" priority="10">
      <formula>AND(FÜ=0,Leer=FALSE)</formula>
    </cfRule>
  </conditionalFormatting>
  <conditionalFormatting sqref="R22:T22">
    <cfRule type="expression" dxfId="43" priority="5">
      <formula>AND(FÜ=0,Leer=FALSE)</formula>
    </cfRule>
  </conditionalFormatting>
  <conditionalFormatting sqref="S22:T36">
    <cfRule type="expression" dxfId="42" priority="4">
      <formula>AND(FÜ=0,Leer=FALSE)</formula>
    </cfRule>
  </conditionalFormatting>
  <pageMargins left="0.23622047244094491" right="0.23622047244094491" top="0.74803149606299213" bottom="0.59055118110236227" header="0.31496062992125984" footer="0.31496062992125984"/>
  <pageSetup paperSize="9" scale="62" fitToHeight="0" orientation="landscape" r:id="rId1"/>
  <headerFooter alignWithMargins="0">
    <oddFooter>&amp;L&amp;F&amp;CDiese Tabelle wurde mit Sorgfalt erstellt, dient aber lediglich als Arbeitshilfe.
Für Schäden, welche direkt oder indirekt aus deren Verwendung entstehen, wird keine Haftung übernommen!&amp;R&amp;D, 3/9   &amp;G</oddFooter>
  </headerFooter>
  <ignoredErrors>
    <ignoredError sqref="R10" unlockedFormula="1"/>
    <ignoredError sqref="E37:P37 S10:T10" formula="1" unlockedFormula="1"/>
  </ignoredErrors>
  <drawing r:id="rId2"/>
  <legacyDrawing r:id="rId3"/>
  <legacyDrawingHF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pageSetUpPr fitToPage="1"/>
  </sheetPr>
  <dimension ref="A5:W51"/>
  <sheetViews>
    <sheetView topLeftCell="A8" zoomScale="130" zoomScaleNormal="130" workbookViewId="0">
      <pane xSplit="3" topLeftCell="D1" activePane="topRight" state="frozen"/>
      <selection pane="topRight" activeCell="K18" sqref="K18"/>
    </sheetView>
  </sheetViews>
  <sheetFormatPr baseColWidth="10" defaultColWidth="11.42578125" defaultRowHeight="12.75" x14ac:dyDescent="0.2"/>
  <cols>
    <col min="1" max="1" width="21.28515625" style="45" customWidth="1"/>
    <col min="2" max="2" width="11.42578125" style="45" customWidth="1"/>
    <col min="3" max="3" width="7.5703125" style="45" customWidth="1"/>
    <col min="4" max="15" width="11.42578125" style="46"/>
    <col min="16" max="18" width="13.7109375" style="46" customWidth="1"/>
    <col min="19" max="23" width="13.7109375" style="45" customWidth="1"/>
    <col min="24" max="16384" width="11.42578125" style="45"/>
  </cols>
  <sheetData>
    <row r="5" spans="1:23" ht="15" customHeight="1" x14ac:dyDescent="0.2"/>
    <row r="7" spans="1:23" x14ac:dyDescent="0.2">
      <c r="A7" s="47">
        <f>Basisdaten!C10</f>
        <v>8</v>
      </c>
    </row>
    <row r="8" spans="1:23" ht="20.25" x14ac:dyDescent="0.2">
      <c r="A8" s="48" t="s">
        <v>10</v>
      </c>
      <c r="B8" s="95"/>
    </row>
    <row r="9" spans="1:23" ht="20.25" customHeight="1" x14ac:dyDescent="0.2">
      <c r="A9" s="48" t="str">
        <f>Basisdaten!C8</f>
        <v>ANAMNIC GmbH</v>
      </c>
      <c r="B9" s="96"/>
    </row>
    <row r="10" spans="1:23" ht="15" customHeight="1" x14ac:dyDescent="0.2">
      <c r="B10" s="50"/>
      <c r="C10" s="50"/>
      <c r="D10" s="337" t="str">
        <f>IF(OR(Basisdaten!$C$12="NEIN",'Plan-G&amp;V'!Q9&gt;0),"Nettobeträge","Bruttobeträge")</f>
        <v>Nettobeträge</v>
      </c>
      <c r="E10" s="338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337" t="str">
        <f>IF(OR(Basisdaten!$C$12="NEIN",'Plan-G&amp;V'!R9&gt;0),"Nettobeträge","Bruttobeträge")</f>
        <v>Nettobeträge</v>
      </c>
      <c r="S10" s="338"/>
      <c r="T10" s="337" t="str">
        <f>IF(OR(Basisdaten!$C$12="NEIN",'Plan-G&amp;V'!S9&gt;0),"Nettobeträge","Bruttobeträge")</f>
        <v>Nettobeträge</v>
      </c>
      <c r="U10" s="338"/>
      <c r="V10" s="337" t="str">
        <f>IF(OR(Basisdaten!$C$12="NEIN",'Plan-G&amp;V'!T9&gt;0),"Nettobeträge","Bruttobeträge")</f>
        <v>Nettobeträge</v>
      </c>
      <c r="W10" s="338"/>
    </row>
    <row r="11" spans="1:23" ht="15" customHeight="1" thickBot="1" x14ac:dyDescent="0.25">
      <c r="A11" s="56"/>
      <c r="B11" s="56"/>
      <c r="C11" s="56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</row>
    <row r="12" spans="1:23" s="61" customFormat="1" ht="15" customHeight="1" thickBot="1" x14ac:dyDescent="0.25">
      <c r="A12" s="351" t="s">
        <v>0</v>
      </c>
      <c r="B12" s="352"/>
      <c r="C12" s="59" t="s">
        <v>5</v>
      </c>
      <c r="D12" s="57" t="str">
        <f>'Plan-G&amp;V'!E7</f>
        <v>Jän</v>
      </c>
      <c r="E12" s="58" t="str">
        <f>'Plan-G&amp;V'!F7</f>
        <v>Feb</v>
      </c>
      <c r="F12" s="58" t="str">
        <f>'Plan-G&amp;V'!G7</f>
        <v>Mär</v>
      </c>
      <c r="G12" s="58" t="str">
        <f>'Plan-G&amp;V'!H7</f>
        <v>Apr</v>
      </c>
      <c r="H12" s="58" t="str">
        <f>'Plan-G&amp;V'!I7</f>
        <v>Mai</v>
      </c>
      <c r="I12" s="58" t="str">
        <f>'Plan-G&amp;V'!J7</f>
        <v>Jun</v>
      </c>
      <c r="J12" s="58" t="str">
        <f>'Plan-G&amp;V'!K7</f>
        <v>Jul</v>
      </c>
      <c r="K12" s="58" t="str">
        <f>'Plan-G&amp;V'!L7</f>
        <v>Aug</v>
      </c>
      <c r="L12" s="58" t="str">
        <f>'Plan-G&amp;V'!M7</f>
        <v>Sep</v>
      </c>
      <c r="M12" s="58" t="str">
        <f>'Plan-G&amp;V'!N7</f>
        <v>Okt</v>
      </c>
      <c r="N12" s="58" t="str">
        <f>'Plan-G&amp;V'!O7</f>
        <v>Nov</v>
      </c>
      <c r="O12" s="58" t="str">
        <f>'Plan-G&amp;V'!P7</f>
        <v>Dez</v>
      </c>
      <c r="P12" s="339">
        <f>'Plan-G&amp;V'!Q7</f>
        <v>2026</v>
      </c>
      <c r="Q12" s="340"/>
      <c r="R12" s="339">
        <f>'Plan-G&amp;V'!R7</f>
        <v>2027</v>
      </c>
      <c r="S12" s="340"/>
      <c r="T12" s="339">
        <f>'Plan-G&amp;V'!S7</f>
        <v>2028</v>
      </c>
      <c r="U12" s="340"/>
      <c r="V12" s="339">
        <f>'Plan-G&amp;V'!T7</f>
        <v>2029</v>
      </c>
      <c r="W12" s="340"/>
    </row>
    <row r="13" spans="1:23" ht="15" customHeight="1" x14ac:dyDescent="0.2">
      <c r="A13" s="353" t="s">
        <v>87</v>
      </c>
      <c r="B13" s="354"/>
      <c r="C13" s="226">
        <f>0</f>
        <v>0</v>
      </c>
      <c r="D13" s="6"/>
      <c r="E13" s="7"/>
      <c r="F13" s="7"/>
      <c r="G13" s="7"/>
      <c r="H13" s="7"/>
      <c r="I13" s="7"/>
      <c r="J13" s="7"/>
      <c r="K13" s="7"/>
      <c r="L13" s="7"/>
      <c r="M13" s="7"/>
      <c r="N13" s="7"/>
      <c r="O13" s="8"/>
      <c r="P13" s="90">
        <f>SUM(D13:I13)</f>
        <v>0</v>
      </c>
      <c r="Q13" s="98">
        <f>SUM(J13:O13)</f>
        <v>0</v>
      </c>
      <c r="R13" s="9"/>
      <c r="S13" s="10"/>
      <c r="T13" s="9"/>
      <c r="U13" s="10"/>
      <c r="V13" s="9"/>
      <c r="W13" s="10"/>
    </row>
    <row r="14" spans="1:23" ht="15" customHeight="1" x14ac:dyDescent="0.2">
      <c r="A14" s="345" t="s">
        <v>17</v>
      </c>
      <c r="B14" s="346"/>
      <c r="C14" s="30">
        <f>40</f>
        <v>40</v>
      </c>
      <c r="D14" s="3"/>
      <c r="E14" s="4"/>
      <c r="F14" s="4"/>
      <c r="G14" s="4"/>
      <c r="H14" s="4"/>
      <c r="I14" s="4"/>
      <c r="J14" s="4"/>
      <c r="K14" s="4"/>
      <c r="L14" s="4"/>
      <c r="M14" s="4"/>
      <c r="N14" s="4"/>
      <c r="O14" s="11"/>
      <c r="P14" s="90">
        <f t="shared" ref="P14:P21" si="0">SUM(D14:I14)</f>
        <v>0</v>
      </c>
      <c r="Q14" s="99">
        <f t="shared" ref="Q14:Q21" si="1">SUM(J14:O14)</f>
        <v>0</v>
      </c>
      <c r="R14" s="3"/>
      <c r="S14" s="5"/>
      <c r="T14" s="3"/>
      <c r="U14" s="5"/>
      <c r="V14" s="3"/>
      <c r="W14" s="5"/>
    </row>
    <row r="15" spans="1:23" ht="15" customHeight="1" x14ac:dyDescent="0.2">
      <c r="A15" s="345" t="s">
        <v>1</v>
      </c>
      <c r="B15" s="346"/>
      <c r="C15" s="30">
        <f>10</f>
        <v>10</v>
      </c>
      <c r="D15" s="3"/>
      <c r="E15" s="4"/>
      <c r="F15" s="4"/>
      <c r="G15" s="4"/>
      <c r="H15" s="4"/>
      <c r="I15" s="4"/>
      <c r="J15" s="4"/>
      <c r="K15" s="12"/>
      <c r="L15" s="4"/>
      <c r="M15" s="4"/>
      <c r="N15" s="4"/>
      <c r="O15" s="11"/>
      <c r="P15" s="90">
        <f t="shared" si="0"/>
        <v>0</v>
      </c>
      <c r="Q15" s="99">
        <f t="shared" si="1"/>
        <v>0</v>
      </c>
      <c r="R15" s="3"/>
      <c r="S15" s="5"/>
      <c r="T15" s="3"/>
      <c r="U15" s="5"/>
      <c r="V15" s="3"/>
      <c r="W15" s="5"/>
    </row>
    <row r="16" spans="1:23" ht="15" customHeight="1" x14ac:dyDescent="0.2">
      <c r="A16" s="345" t="s">
        <v>2</v>
      </c>
      <c r="B16" s="346"/>
      <c r="C16" s="30">
        <f>5</f>
        <v>5</v>
      </c>
      <c r="D16" s="3"/>
      <c r="E16" s="4"/>
      <c r="F16" s="4"/>
      <c r="G16" s="4"/>
      <c r="H16" s="4"/>
      <c r="I16" s="4"/>
      <c r="J16" s="4"/>
      <c r="K16" s="4"/>
      <c r="L16" s="4"/>
      <c r="M16" s="4"/>
      <c r="N16" s="4"/>
      <c r="O16" s="11"/>
      <c r="P16" s="90">
        <f t="shared" si="0"/>
        <v>0</v>
      </c>
      <c r="Q16" s="99">
        <f t="shared" si="1"/>
        <v>0</v>
      </c>
      <c r="R16" s="3"/>
      <c r="S16" s="5"/>
      <c r="T16" s="3"/>
      <c r="U16" s="5"/>
      <c r="V16" s="3"/>
      <c r="W16" s="5"/>
    </row>
    <row r="17" spans="1:23" ht="15" customHeight="1" x14ac:dyDescent="0.2">
      <c r="A17" s="345" t="s">
        <v>16</v>
      </c>
      <c r="B17" s="346"/>
      <c r="C17" s="30">
        <f>8</f>
        <v>8</v>
      </c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11"/>
      <c r="P17" s="90">
        <f t="shared" si="0"/>
        <v>0</v>
      </c>
      <c r="Q17" s="99">
        <f t="shared" si="1"/>
        <v>0</v>
      </c>
      <c r="R17" s="3"/>
      <c r="S17" s="5"/>
      <c r="T17" s="3"/>
      <c r="U17" s="5"/>
      <c r="V17" s="3"/>
      <c r="W17" s="5"/>
    </row>
    <row r="18" spans="1:23" ht="15" customHeight="1" x14ac:dyDescent="0.2">
      <c r="A18" s="345" t="s">
        <v>3</v>
      </c>
      <c r="B18" s="346"/>
      <c r="C18" s="30">
        <f>3</f>
        <v>3</v>
      </c>
      <c r="D18" s="3"/>
      <c r="E18" s="4"/>
      <c r="F18" s="4"/>
      <c r="G18" s="4"/>
      <c r="H18" s="4"/>
      <c r="I18" s="4"/>
      <c r="J18" s="4"/>
      <c r="K18" s="4">
        <v>1500</v>
      </c>
      <c r="L18" s="4"/>
      <c r="M18" s="4"/>
      <c r="N18" s="4"/>
      <c r="O18" s="11"/>
      <c r="P18" s="90">
        <f t="shared" si="0"/>
        <v>0</v>
      </c>
      <c r="Q18" s="99">
        <f t="shared" si="1"/>
        <v>1500</v>
      </c>
      <c r="R18" s="3"/>
      <c r="S18" s="5"/>
      <c r="T18" s="3"/>
      <c r="U18" s="5"/>
      <c r="V18" s="3"/>
      <c r="W18" s="5"/>
    </row>
    <row r="19" spans="1:23" ht="15" customHeight="1" x14ac:dyDescent="0.2">
      <c r="A19" s="347"/>
      <c r="B19" s="346"/>
      <c r="C19" s="30"/>
      <c r="D19" s="3"/>
      <c r="E19" s="4"/>
      <c r="F19" s="4"/>
      <c r="G19" s="4"/>
      <c r="H19" s="4"/>
      <c r="I19" s="4"/>
      <c r="J19" s="4"/>
      <c r="K19" s="4"/>
      <c r="L19" s="4"/>
      <c r="M19" s="4"/>
      <c r="N19" s="4"/>
      <c r="O19" s="11"/>
      <c r="P19" s="90">
        <f t="shared" si="0"/>
        <v>0</v>
      </c>
      <c r="Q19" s="99">
        <f t="shared" si="1"/>
        <v>0</v>
      </c>
      <c r="R19" s="3"/>
      <c r="S19" s="5"/>
      <c r="T19" s="3"/>
      <c r="U19" s="5"/>
      <c r="V19" s="3"/>
      <c r="W19" s="5"/>
    </row>
    <row r="20" spans="1:23" ht="15" customHeight="1" x14ac:dyDescent="0.2">
      <c r="A20" s="347"/>
      <c r="B20" s="346"/>
      <c r="C20" s="30"/>
      <c r="D20" s="3"/>
      <c r="E20" s="4"/>
      <c r="F20" s="4"/>
      <c r="G20" s="4"/>
      <c r="H20" s="4"/>
      <c r="I20" s="4"/>
      <c r="J20" s="4"/>
      <c r="K20" s="4"/>
      <c r="L20" s="4"/>
      <c r="M20" s="4"/>
      <c r="N20" s="4"/>
      <c r="O20" s="11"/>
      <c r="P20" s="90">
        <f t="shared" si="0"/>
        <v>0</v>
      </c>
      <c r="Q20" s="99">
        <f t="shared" si="1"/>
        <v>0</v>
      </c>
      <c r="R20" s="3"/>
      <c r="S20" s="5"/>
      <c r="T20" s="3"/>
      <c r="U20" s="5"/>
      <c r="V20" s="3"/>
      <c r="W20" s="5"/>
    </row>
    <row r="21" spans="1:23" ht="15" customHeight="1" x14ac:dyDescent="0.2">
      <c r="A21" s="345"/>
      <c r="B21" s="346"/>
      <c r="C21" s="30"/>
      <c r="D21" s="3"/>
      <c r="E21" s="4"/>
      <c r="F21" s="4"/>
      <c r="G21" s="4"/>
      <c r="H21" s="4"/>
      <c r="I21" s="4"/>
      <c r="J21" s="4"/>
      <c r="K21" s="4"/>
      <c r="L21" s="4"/>
      <c r="M21" s="4"/>
      <c r="N21" s="4"/>
      <c r="O21" s="11"/>
      <c r="P21" s="90">
        <f t="shared" si="0"/>
        <v>0</v>
      </c>
      <c r="Q21" s="99">
        <f t="shared" si="1"/>
        <v>0</v>
      </c>
      <c r="R21" s="3"/>
      <c r="S21" s="5"/>
      <c r="T21" s="3"/>
      <c r="U21" s="5"/>
      <c r="V21" s="3"/>
      <c r="W21" s="5"/>
    </row>
    <row r="22" spans="1:23" ht="15" customHeight="1" x14ac:dyDescent="0.2">
      <c r="A22" s="345"/>
      <c r="B22" s="346"/>
      <c r="C22" s="30"/>
      <c r="D22" s="3"/>
      <c r="E22" s="4"/>
      <c r="F22" s="4"/>
      <c r="G22" s="4"/>
      <c r="H22" s="4"/>
      <c r="I22" s="4"/>
      <c r="J22" s="4"/>
      <c r="K22" s="4"/>
      <c r="L22" s="4"/>
      <c r="M22" s="4"/>
      <c r="N22" s="4"/>
      <c r="O22" s="11"/>
      <c r="P22" s="90">
        <f>SUM(D22:I22)</f>
        <v>0</v>
      </c>
      <c r="Q22" s="99">
        <f>SUM(J22:O22)</f>
        <v>0</v>
      </c>
      <c r="R22" s="3"/>
      <c r="S22" s="5"/>
      <c r="T22" s="3"/>
      <c r="U22" s="5"/>
      <c r="V22" s="3"/>
      <c r="W22" s="5"/>
    </row>
    <row r="23" spans="1:23" ht="15" customHeight="1" thickBot="1" x14ac:dyDescent="0.25">
      <c r="A23" s="348" t="s">
        <v>12</v>
      </c>
      <c r="B23" s="349"/>
      <c r="C23" s="350"/>
      <c r="D23" s="100">
        <f>SUM(D13:D22)</f>
        <v>0</v>
      </c>
      <c r="E23" s="101">
        <f t="shared" ref="E23:N23" si="2">SUM(E13:E22)</f>
        <v>0</v>
      </c>
      <c r="F23" s="101">
        <f t="shared" si="2"/>
        <v>0</v>
      </c>
      <c r="G23" s="101">
        <f t="shared" si="2"/>
        <v>0</v>
      </c>
      <c r="H23" s="101">
        <f t="shared" si="2"/>
        <v>0</v>
      </c>
      <c r="I23" s="101">
        <f t="shared" si="2"/>
        <v>0</v>
      </c>
      <c r="J23" s="101">
        <f t="shared" si="2"/>
        <v>0</v>
      </c>
      <c r="K23" s="101">
        <f t="shared" si="2"/>
        <v>1500</v>
      </c>
      <c r="L23" s="101">
        <f t="shared" si="2"/>
        <v>0</v>
      </c>
      <c r="M23" s="101">
        <f t="shared" si="2"/>
        <v>0</v>
      </c>
      <c r="N23" s="101">
        <f t="shared" si="2"/>
        <v>0</v>
      </c>
      <c r="O23" s="83">
        <f>SUM(O13:O22)</f>
        <v>0</v>
      </c>
      <c r="P23" s="341">
        <f>SUM(P13:P22)+SUM(Q13:Q22)</f>
        <v>1500</v>
      </c>
      <c r="Q23" s="342"/>
      <c r="R23" s="341">
        <f>SUM(R13:R22)+SUM(S13:S22)</f>
        <v>0</v>
      </c>
      <c r="S23" s="342"/>
      <c r="T23" s="341">
        <f>SUM(T13:T22)+SUM(U13:U22)</f>
        <v>0</v>
      </c>
      <c r="U23" s="342"/>
      <c r="V23" s="341">
        <f>SUM(V13:V22)+SUM(W13:W22)</f>
        <v>0</v>
      </c>
      <c r="W23" s="342"/>
    </row>
    <row r="24" spans="1:23" ht="15" customHeight="1" x14ac:dyDescent="0.2">
      <c r="A24" s="102"/>
      <c r="B24" s="102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/>
      <c r="N24" s="103"/>
      <c r="O24" s="103"/>
      <c r="P24" s="103"/>
      <c r="Q24" s="103"/>
      <c r="R24" s="103"/>
    </row>
    <row r="25" spans="1:23" ht="15.75" x14ac:dyDescent="0.2">
      <c r="A25" s="104" t="s">
        <v>44</v>
      </c>
      <c r="B25" s="102"/>
      <c r="C25" s="103"/>
      <c r="D25" s="103"/>
      <c r="E25" s="103"/>
      <c r="F25" s="103"/>
      <c r="G25" s="103"/>
      <c r="H25" s="103"/>
      <c r="I25" s="103"/>
      <c r="J25" s="103"/>
      <c r="K25" s="103"/>
      <c r="L25" s="103"/>
      <c r="M25" s="103"/>
      <c r="N25" s="103"/>
      <c r="O25" s="103"/>
      <c r="P25" s="103"/>
      <c r="Q25" s="103"/>
      <c r="R25" s="103"/>
    </row>
    <row r="26" spans="1:23" ht="15" customHeight="1" thickBot="1" x14ac:dyDescent="0.25">
      <c r="A26" s="102"/>
      <c r="B26" s="102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</row>
    <row r="27" spans="1:23" s="46" customFormat="1" ht="15" customHeight="1" thickBot="1" x14ac:dyDescent="0.25">
      <c r="A27" s="105" t="s">
        <v>25</v>
      </c>
      <c r="B27" s="106" t="s">
        <v>23</v>
      </c>
      <c r="C27" s="107" t="s">
        <v>24</v>
      </c>
      <c r="D27" s="57" t="str">
        <f>D12</f>
        <v>Jän</v>
      </c>
      <c r="E27" s="108" t="str">
        <f t="shared" ref="E27:O27" si="3">E12</f>
        <v>Feb</v>
      </c>
      <c r="F27" s="108" t="str">
        <f t="shared" si="3"/>
        <v>Mär</v>
      </c>
      <c r="G27" s="108" t="str">
        <f t="shared" si="3"/>
        <v>Apr</v>
      </c>
      <c r="H27" s="108" t="str">
        <f t="shared" si="3"/>
        <v>Mai</v>
      </c>
      <c r="I27" s="108" t="str">
        <f t="shared" si="3"/>
        <v>Jun</v>
      </c>
      <c r="J27" s="108" t="str">
        <f t="shared" si="3"/>
        <v>Jul</v>
      </c>
      <c r="K27" s="108" t="str">
        <f t="shared" si="3"/>
        <v>Aug</v>
      </c>
      <c r="L27" s="108" t="str">
        <f t="shared" si="3"/>
        <v>Sep</v>
      </c>
      <c r="M27" s="108" t="str">
        <f t="shared" si="3"/>
        <v>Okt</v>
      </c>
      <c r="N27" s="108" t="str">
        <f t="shared" si="3"/>
        <v>Nov</v>
      </c>
      <c r="O27" s="107" t="str">
        <f t="shared" si="3"/>
        <v>Dez</v>
      </c>
      <c r="P27" s="109" t="str">
        <f>CONCATENATE(P12," AfA")</f>
        <v>2026 AfA</v>
      </c>
      <c r="Q27" s="110" t="s">
        <v>27</v>
      </c>
      <c r="R27" s="111" t="str">
        <f>CONCATENATE(R12," AfA")</f>
        <v>2027 AfA</v>
      </c>
      <c r="S27" s="110" t="s">
        <v>27</v>
      </c>
      <c r="T27" s="111" t="str">
        <f>CONCATENATE(T12," AfA")</f>
        <v>2028 AfA</v>
      </c>
      <c r="U27" s="110" t="s">
        <v>27</v>
      </c>
      <c r="V27" s="111" t="str">
        <f>CONCATENATE(V12," AfA")</f>
        <v>2029 AfA</v>
      </c>
      <c r="W27" s="110" t="s">
        <v>27</v>
      </c>
    </row>
    <row r="28" spans="1:23" ht="15" customHeight="1" x14ac:dyDescent="0.2">
      <c r="A28" s="13"/>
      <c r="B28" s="14"/>
      <c r="C28" s="15"/>
      <c r="D28" s="112">
        <f>IF(OR(C28=0,Basisdaten!E$7&gt;1),0,IF(AND(C28=0.5,Basisdaten!E$7&lt;7),B28/(13-Basisdaten!E$7-6),B28/C28/12))</f>
        <v>0</v>
      </c>
      <c r="E28" s="113">
        <f>IF(OR(C28=0,Basisdaten!E$7&gt;2),0,IF(AND(C28=0.5,Basisdaten!E$7&lt;7),B28/(13-Basisdaten!E$7-6),B28/C28/(13-Basisdaten!E$7)))</f>
        <v>0</v>
      </c>
      <c r="F28" s="113">
        <f>IF(OR(C28=0,Basisdaten!E$7&gt;3),0,IF(AND(C28=0.5,Basisdaten!E$7&lt;7),B28/(13-Basisdaten!E$7-6),B28/C28/(13-Basisdaten!E$7)))</f>
        <v>0</v>
      </c>
      <c r="G28" s="113">
        <f>IF(OR(C28=0,Basisdaten!E$7&gt;4),0,IF(AND(C28=0.5,Basisdaten!E$7&lt;7),B28/(13-Basisdaten!E$7-6),B28/C28/(13-Basisdaten!E$7)))</f>
        <v>0</v>
      </c>
      <c r="H28" s="113">
        <f>IF(OR(C28=0,Basisdaten!E$7&gt;5),0,IF(AND(C28=0.5,Basisdaten!E$7&lt;7),B28/(13-Basisdaten!E$7-6),B28/C28/(13-Basisdaten!E$7)))</f>
        <v>0</v>
      </c>
      <c r="I28" s="113">
        <f>IF(OR(C28=0,Basisdaten!E$7&gt;6),0,IF(AND(C28=0.5,Basisdaten!E$7&lt;7),B28/(13-Basisdaten!E$7-6),B28/C28/(13-Basisdaten!E$7)))</f>
        <v>0</v>
      </c>
      <c r="J28" s="113">
        <f>IF(OR(C28=0,Basisdaten!E$7&gt;7,AND(C28=0.5,Basisdaten!E$7&lt;7)),0,IF(Basisdaten!E$7&lt;7,B28/C28/(13-Basisdaten!E$7),B28/C28/(13-Basisdaten!E$7)/2))</f>
        <v>0</v>
      </c>
      <c r="K28" s="113">
        <f>IF(OR(C28=0,Basisdaten!E$7&gt;8,AND(C28=0.5,Basisdaten!E$7&lt;7)),0,IF(Basisdaten!E$7&lt;7,B28/C28/(13-Basisdaten!E$7),B28/C28/(13-Basisdaten!E$7)/2))</f>
        <v>0</v>
      </c>
      <c r="L28" s="113">
        <f>IF(OR(C28=0,Basisdaten!E$7&gt;9,AND(C28=0.5,Basisdaten!E$7&lt;7)),0,IF(Basisdaten!E$7&lt;7,B28/C28/(13-Basisdaten!E$7),B28/C28/(13-Basisdaten!E$7)/2))</f>
        <v>0</v>
      </c>
      <c r="M28" s="113">
        <f>IF(OR(C28=0,Basisdaten!E$7&gt;10,AND(C28=0.5,Basisdaten!E$7&lt;7)),0,IF(Basisdaten!E$7&lt;7,B28/C28/(13-Basisdaten!E$7),B28/C28/(13-Basisdaten!E$7)/2))</f>
        <v>0</v>
      </c>
      <c r="N28" s="113">
        <f>IF(OR(C28=0,Basisdaten!E$7&gt;11,AND(C28=0.5,Basisdaten!E$7&lt;7)),0,IF(Basisdaten!E$7&lt;7,B28/C28/(13-Basisdaten!E$7),B28/C28/(13-Basisdaten!E$7)/2))</f>
        <v>0</v>
      </c>
      <c r="O28" s="114">
        <f>IF(OR(C28=0,Basisdaten!E$7&gt;12,AND(C28=0.5,Basisdaten!E$7&lt;7)),0,IF(Basisdaten!E$7&lt;7,B28/C28/(13-Basisdaten!E$7),B28/C28/(13-Basisdaten!E$7)/2))</f>
        <v>0</v>
      </c>
      <c r="P28" s="115">
        <f>SUM(D28:O28)</f>
        <v>0</v>
      </c>
      <c r="Q28" s="116">
        <f>B28-P28</f>
        <v>0</v>
      </c>
      <c r="R28" s="117">
        <f>IF(Q28&lt;=P28,Q28,IF(Basisdaten!E$7&lt;7,P28,P28*2))</f>
        <v>0</v>
      </c>
      <c r="S28" s="118">
        <f>Q28-R28</f>
        <v>0</v>
      </c>
      <c r="T28" s="117">
        <f>IF(S28&lt;R28,S28,R28)</f>
        <v>0</v>
      </c>
      <c r="U28" s="118">
        <f>S28-T28</f>
        <v>0</v>
      </c>
      <c r="V28" s="117">
        <f>IF(U28&lt;T28,U28,T28)</f>
        <v>0</v>
      </c>
      <c r="W28" s="118">
        <f>U28-V28</f>
        <v>0</v>
      </c>
    </row>
    <row r="29" spans="1:23" ht="15" customHeight="1" x14ac:dyDescent="0.2">
      <c r="A29" s="31"/>
      <c r="B29" s="16"/>
      <c r="C29" s="17"/>
      <c r="D29" s="76">
        <f>IF(OR(C29=0,Basisdaten!E$7&gt;1),0,IF(AND(C29=0.5,Basisdaten!E$7&lt;7),B29/(13-Basisdaten!E$7-6),B29/C29/12))</f>
        <v>0</v>
      </c>
      <c r="E29" s="63">
        <f>IF(OR(C29=0,Basisdaten!E$7&gt;2),0,IF(AND(C29=0.5,Basisdaten!E$7&lt;7),B29/(13-Basisdaten!E$7-6),B29/C29/(13-Basisdaten!E$7)))</f>
        <v>0</v>
      </c>
      <c r="F29" s="63">
        <f>IF(OR(C29=0,Basisdaten!E$7&gt;3),0,IF(AND(C29=0.5,Basisdaten!E$7&lt;7),B29/(13-Basisdaten!E$7-6),B29/C29/(13-Basisdaten!E$7)))</f>
        <v>0</v>
      </c>
      <c r="G29" s="63">
        <f>IF(OR(C29=0,Basisdaten!E$7&gt;4),0,IF(AND(C29=0.5,Basisdaten!E$7&lt;7),B29/(13-Basisdaten!E$7-6),B29/C29/(13-Basisdaten!E$7)))</f>
        <v>0</v>
      </c>
      <c r="H29" s="63">
        <f>IF(OR(C29=0,Basisdaten!E$7&gt;5),0,IF(AND(C29=0.5,Basisdaten!E$7&lt;7),B29/(13-Basisdaten!E$7-6),B29/C29/(13-Basisdaten!E$7)))</f>
        <v>0</v>
      </c>
      <c r="I29" s="63">
        <f>IF(OR(C29=0,Basisdaten!E$7&gt;6),0,IF(AND(C29=0.5,Basisdaten!E$7&lt;7),B29/(13-Basisdaten!E$7-6),B29/C29/(13-Basisdaten!E$7)))</f>
        <v>0</v>
      </c>
      <c r="J29" s="113">
        <f>IF(OR(C29=0,Basisdaten!E$7&gt;7,AND(C29=0.5,Basisdaten!E$7&lt;7)),0,IF(Basisdaten!E$7&lt;7,B29/C29/(13-Basisdaten!E$7),B29/C29/(13-Basisdaten!E$7)/2))</f>
        <v>0</v>
      </c>
      <c r="K29" s="63">
        <f>IF(OR(C29=0,Basisdaten!E$7&gt;8,AND(C29=0.5,Basisdaten!E$7&lt;7)),0,IF(Basisdaten!E$7&lt;7,B29/C29/(13-Basisdaten!E$7),B29/C29/(13-Basisdaten!E$7)/2))</f>
        <v>0</v>
      </c>
      <c r="L29" s="63">
        <f>IF(OR(C29=0,Basisdaten!E$7&gt;9,AND(C29=0.5,Basisdaten!E$7&lt;7)),0,IF(Basisdaten!E$7&lt;7,B29/C29/(13-Basisdaten!E$7),B29/C29/(13-Basisdaten!E$7)/2))</f>
        <v>0</v>
      </c>
      <c r="M29" s="63">
        <f>IF(OR(C29=0,Basisdaten!E$7&gt;10,AND(C29=0.5,Basisdaten!E$7&lt;7)),0,IF(Basisdaten!E$7&lt;7,B29/C29/(13-Basisdaten!E$7),B29/C29/(13-Basisdaten!E$7)/2))</f>
        <v>0</v>
      </c>
      <c r="N29" s="63">
        <f>IF(OR(C29=0,Basisdaten!E$7&gt;11,AND(C29=0.5,Basisdaten!E$7&lt;7)),0,IF(Basisdaten!E$7&lt;7,B29/C29/(13-Basisdaten!E$7),B29/C29/(13-Basisdaten!E$7)/2))</f>
        <v>0</v>
      </c>
      <c r="O29" s="79">
        <f>IF(OR(C29=0,Basisdaten!E$7&gt;12,AND(C29=0.5,Basisdaten!E$7&lt;7)),0,IF(Basisdaten!E$7&lt;7,B29/C29/(13-Basisdaten!E$7),B29/C29/(13-Basisdaten!E$7)/2))</f>
        <v>0</v>
      </c>
      <c r="P29" s="119">
        <f t="shared" ref="P29:P41" si="4">SUM(D29:O29)</f>
        <v>0</v>
      </c>
      <c r="Q29" s="120">
        <f>B29-P29</f>
        <v>0</v>
      </c>
      <c r="R29" s="119">
        <f>IF(Q29&lt;=P29,Q29,IF(Basisdaten!E$7&lt;7,P29,P29*2))</f>
        <v>0</v>
      </c>
      <c r="S29" s="120">
        <f>Q29-R29</f>
        <v>0</v>
      </c>
      <c r="T29" s="119">
        <f>IF(S29&lt;R29,S29,R29)</f>
        <v>0</v>
      </c>
      <c r="U29" s="120">
        <f>S29-T29</f>
        <v>0</v>
      </c>
      <c r="V29" s="119">
        <f>IF(U29&lt;T29,U29,T29)</f>
        <v>0</v>
      </c>
      <c r="W29" s="120">
        <f>U29-V29</f>
        <v>0</v>
      </c>
    </row>
    <row r="30" spans="1:23" ht="15" customHeight="1" x14ac:dyDescent="0.2">
      <c r="A30" s="31"/>
      <c r="B30" s="16"/>
      <c r="C30" s="17"/>
      <c r="D30" s="76">
        <f>IF(OR(C30=0,Basisdaten!E$7&gt;1),0,IF(AND(C30=0.5,Basisdaten!E$7&lt;7),B30/(13-Basisdaten!E$7-6),B30/C30/12))</f>
        <v>0</v>
      </c>
      <c r="E30" s="63">
        <f>IF(OR(C30=0,Basisdaten!E$7&gt;2),0,IF(AND(C30=0.5,Basisdaten!E$7&lt;7),B30/(13-Basisdaten!E$7-6),B30/C30/(13-Basisdaten!E$7)))</f>
        <v>0</v>
      </c>
      <c r="F30" s="63">
        <f>IF(OR(C30=0,Basisdaten!E$7&gt;3),0,IF(AND(C30=0.5,Basisdaten!E$7&lt;7),B30/(13-Basisdaten!E$7-6),B30/C30/(13-Basisdaten!E$7)))</f>
        <v>0</v>
      </c>
      <c r="G30" s="63">
        <f>IF(OR(C30=0,Basisdaten!E$7&gt;4),0,IF(AND(C30=0.5,Basisdaten!E$7&lt;7),B30/(13-Basisdaten!E$7-6),B30/C30/(13-Basisdaten!E$7)))</f>
        <v>0</v>
      </c>
      <c r="H30" s="63">
        <f>IF(OR(C30=0,Basisdaten!E$7&gt;5),0,IF(AND(C30=0.5,Basisdaten!E$7&lt;7),B30/(13-Basisdaten!E$7-6),B30/C30/(13-Basisdaten!E$7)))</f>
        <v>0</v>
      </c>
      <c r="I30" s="63">
        <f>IF(OR(C30=0,Basisdaten!E$7&gt;6),0,IF(AND(C30=0.5,Basisdaten!E$7&lt;7),B30/(13-Basisdaten!E$7-6),B30/C30/(13-Basisdaten!E$7)))</f>
        <v>0</v>
      </c>
      <c r="J30" s="113">
        <f>IF(OR(C30=0,Basisdaten!E$7&gt;7,AND(C30=0.5,Basisdaten!E$7&lt;7)),0,IF(Basisdaten!E$7&lt;7,B30/C30/(13-Basisdaten!E$7),B30/C30/(13-Basisdaten!E$7)/2))</f>
        <v>0</v>
      </c>
      <c r="K30" s="63">
        <f>IF(OR(C30=0,Basisdaten!E$7&gt;8,AND(C30=0.5,Basisdaten!E$7&lt;7)),0,IF(Basisdaten!E$7&lt;7,B30/C30/(13-Basisdaten!E$7),B30/C30/(13-Basisdaten!E$7)/2))</f>
        <v>0</v>
      </c>
      <c r="L30" s="63">
        <f>IF(OR(C30=0,Basisdaten!E$7&gt;9,AND(C30=0.5,Basisdaten!E$7&lt;7)),0,IF(Basisdaten!E$7&lt;7,B30/C30/(13-Basisdaten!E$7),B30/C30/(13-Basisdaten!E$7)/2))</f>
        <v>0</v>
      </c>
      <c r="M30" s="63">
        <f>IF(OR(C30=0,Basisdaten!E$7&gt;10,AND(C30=0.5,Basisdaten!E$7&lt;7)),0,IF(Basisdaten!E$7&lt;7,B30/C30/(13-Basisdaten!E$7),B30/C30/(13-Basisdaten!E$7)/2))</f>
        <v>0</v>
      </c>
      <c r="N30" s="63">
        <f>IF(OR(C30=0,Basisdaten!E$7&gt;11,AND(C30=0.5,Basisdaten!E$7&lt;7)),0,IF(Basisdaten!E$7&lt;7,B30/C30/(13-Basisdaten!E$7),B30/C30/(13-Basisdaten!E$7)/2))</f>
        <v>0</v>
      </c>
      <c r="O30" s="79">
        <f>IF(OR(C30=0,Basisdaten!E$7&gt;12,AND(C30=0.5,Basisdaten!E$7&lt;7)),0,IF(Basisdaten!E$7&lt;7,B30/C30/(13-Basisdaten!E$7),B30/C30/(13-Basisdaten!E$7)/2))</f>
        <v>0</v>
      </c>
      <c r="P30" s="119">
        <f t="shared" si="4"/>
        <v>0</v>
      </c>
      <c r="Q30" s="120">
        <f>B30-P30</f>
        <v>0</v>
      </c>
      <c r="R30" s="119">
        <f>IF(Q30&lt;=P30,Q30,IF(Basisdaten!E$7&lt;7,P30,P30*2))</f>
        <v>0</v>
      </c>
      <c r="S30" s="120">
        <f>Q30-R30</f>
        <v>0</v>
      </c>
      <c r="T30" s="119">
        <f>IF(S30&lt;R30,S30,R30)</f>
        <v>0</v>
      </c>
      <c r="U30" s="120">
        <f>S30-T30</f>
        <v>0</v>
      </c>
      <c r="V30" s="119">
        <f>IF(U30&lt;T30,U30,T30)</f>
        <v>0</v>
      </c>
      <c r="W30" s="120">
        <f>U30-V30</f>
        <v>0</v>
      </c>
    </row>
    <row r="31" spans="1:23" ht="15" customHeight="1" x14ac:dyDescent="0.2">
      <c r="A31" s="31"/>
      <c r="B31" s="16"/>
      <c r="C31" s="18"/>
      <c r="D31" s="76">
        <f>IF(OR(C31=0,Basisdaten!E$7&gt;1),0,IF(AND(C31=0.5,Basisdaten!E$7&lt;7),B31/(13-Basisdaten!E$7-6),B31/C31/12))</f>
        <v>0</v>
      </c>
      <c r="E31" s="63">
        <f>IF(OR(C31=0,Basisdaten!E$7&gt;2),0,IF(AND(C31=0.5,Basisdaten!E$7&lt;7),B31/(13-Basisdaten!E$7-6),B31/C31/(13-Basisdaten!E$7)))</f>
        <v>0</v>
      </c>
      <c r="F31" s="63">
        <f>IF(OR(C31=0,Basisdaten!E$7&gt;3),0,IF(AND(C31=0.5,Basisdaten!E$7&lt;7),B31/(13-Basisdaten!E$7-6),B31/C31/(13-Basisdaten!E$7)))</f>
        <v>0</v>
      </c>
      <c r="G31" s="63">
        <f>IF(OR(C31=0,Basisdaten!E$7&gt;4),0,IF(AND(C31=0.5,Basisdaten!E$7&lt;7),B31/(13-Basisdaten!E$7-6),B31/C31/(13-Basisdaten!E$7)))</f>
        <v>0</v>
      </c>
      <c r="H31" s="63">
        <f>IF(OR(C31=0,Basisdaten!E$7&gt;5),0,IF(AND(C31=0.5,Basisdaten!E$7&lt;7),B31/(13-Basisdaten!E$7-6),B31/C31/(13-Basisdaten!E$7)))</f>
        <v>0</v>
      </c>
      <c r="I31" s="63">
        <f>IF(OR(C31=0,Basisdaten!E$7&gt;6),0,IF(AND(C31=0.5,Basisdaten!E$7&lt;7),B31/(13-Basisdaten!E$7-6),B31/C31/(13-Basisdaten!E$7)))</f>
        <v>0</v>
      </c>
      <c r="J31" s="113">
        <f>IF(OR(C31=0,Basisdaten!E$7&gt;7,AND(C31=0.5,Basisdaten!E$7&lt;7)),0,IF(Basisdaten!E$7&lt;7,B31/C31/(13-Basisdaten!E$7),B31/C31/(13-Basisdaten!E$7)/2))</f>
        <v>0</v>
      </c>
      <c r="K31" s="63">
        <f>IF(OR(C31=0,Basisdaten!E$7&gt;8,AND(C31=0.5,Basisdaten!E$7&lt;7)),0,IF(Basisdaten!E$7&lt;7,B31/C31/(13-Basisdaten!E$7),B31/C31/(13-Basisdaten!E$7)/2))</f>
        <v>0</v>
      </c>
      <c r="L31" s="63">
        <f>IF(OR(C31=0,Basisdaten!E$7&gt;9,AND(C31=0.5,Basisdaten!E$7&lt;7)),0,IF(Basisdaten!E$7&lt;7,B31/C31/(13-Basisdaten!E$7),B31/C31/(13-Basisdaten!E$7)/2))</f>
        <v>0</v>
      </c>
      <c r="M31" s="63">
        <f>IF(OR(C31=0,Basisdaten!E$7&gt;10,AND(C31=0.5,Basisdaten!E$7&lt;7)),0,IF(Basisdaten!E$7&lt;7,B31/C31/(13-Basisdaten!E$7),B31/C31/(13-Basisdaten!E$7)/2))</f>
        <v>0</v>
      </c>
      <c r="N31" s="63">
        <f>IF(OR(C31=0,Basisdaten!E$7&gt;11,AND(C31=0.5,Basisdaten!E$7&lt;7)),0,IF(Basisdaten!E$7&lt;7,B31/C31/(13-Basisdaten!E$7),B31/C31/(13-Basisdaten!E$7)/2))</f>
        <v>0</v>
      </c>
      <c r="O31" s="79">
        <f>IF(OR(C31=0,Basisdaten!E$7&gt;12,AND(C31=0.5,Basisdaten!E$7&lt;7)),0,IF(Basisdaten!E$7&lt;7,B31/C31/(13-Basisdaten!E$7),B31/C31/(13-Basisdaten!E$7)/2))</f>
        <v>0</v>
      </c>
      <c r="P31" s="119">
        <f t="shared" si="4"/>
        <v>0</v>
      </c>
      <c r="Q31" s="120">
        <f>B31-P31</f>
        <v>0</v>
      </c>
      <c r="R31" s="119">
        <f>IF(Q31&lt;=P31,Q31,IF(Basisdaten!E$7&lt;7,P31,P31*2))</f>
        <v>0</v>
      </c>
      <c r="S31" s="120">
        <f>Q31-R31</f>
        <v>0</v>
      </c>
      <c r="T31" s="119">
        <f>IF(S31&lt;R31,S31,R31)</f>
        <v>0</v>
      </c>
      <c r="U31" s="120">
        <f>S31-T31</f>
        <v>0</v>
      </c>
      <c r="V31" s="119">
        <f>IF(U31&lt;T31,U31,T31)</f>
        <v>0</v>
      </c>
      <c r="W31" s="120">
        <f>U31-V31</f>
        <v>0</v>
      </c>
    </row>
    <row r="32" spans="1:23" ht="15" customHeight="1" x14ac:dyDescent="0.2">
      <c r="A32" s="31"/>
      <c r="B32" s="16"/>
      <c r="C32" s="18"/>
      <c r="D32" s="76">
        <f>IF(OR(C32=0,Basisdaten!E$7&gt;1),0,IF(AND(C32=0.5,Basisdaten!E$7&lt;7),B32/(13-Basisdaten!E$7-6),B32/C32/12))</f>
        <v>0</v>
      </c>
      <c r="E32" s="63">
        <f>IF(OR(C32=0,Basisdaten!E$7&gt;2),0,IF(AND(C32=0.5,Basisdaten!E$7&lt;7),B32/(13-Basisdaten!E$7-6),B32/C32/(13-Basisdaten!E$7)))</f>
        <v>0</v>
      </c>
      <c r="F32" s="63">
        <f>IF(OR(C32=0,Basisdaten!E$7&gt;3),0,IF(AND(C32=0.5,Basisdaten!E$7&lt;7),B32/(13-Basisdaten!E$7-6),B32/C32/(13-Basisdaten!E$7)))</f>
        <v>0</v>
      </c>
      <c r="G32" s="63">
        <f>IF(OR(C32=0,Basisdaten!E$7&gt;4),0,IF(AND(C32=0.5,Basisdaten!E$7&lt;7),B32/(13-Basisdaten!E$7-6),B32/C32/(13-Basisdaten!E$7)))</f>
        <v>0</v>
      </c>
      <c r="H32" s="63">
        <f>IF(OR(C32=0,Basisdaten!E$7&gt;5),0,IF(AND(C32=0.5,Basisdaten!E$7&lt;7),B32/(13-Basisdaten!E$7-6),B32/C32/(13-Basisdaten!E$7)))</f>
        <v>0</v>
      </c>
      <c r="I32" s="63">
        <f>IF(OR(C32=0,Basisdaten!E$7&gt;6),0,IF(AND(C32=0.5,Basisdaten!E$7&lt;7),B32/(13-Basisdaten!E$7-6),B32/C32/(13-Basisdaten!E$7)))</f>
        <v>0</v>
      </c>
      <c r="J32" s="113">
        <f>IF(OR(C32=0,Basisdaten!E$7&gt;7,AND(C32=0.5,Basisdaten!E$7&lt;7)),0,IF(Basisdaten!E$7&lt;7,B32/C32/(13-Basisdaten!E$7),B32/C32/(13-Basisdaten!E$7)/2))</f>
        <v>0</v>
      </c>
      <c r="K32" s="63">
        <f>IF(OR(C32=0,Basisdaten!E$7&gt;8,AND(C32=0.5,Basisdaten!E$7&lt;7)),0,IF(Basisdaten!E$7&lt;7,B32/C32/(13-Basisdaten!E$7),B32/C32/(13-Basisdaten!E$7)/2))</f>
        <v>0</v>
      </c>
      <c r="L32" s="63">
        <f>IF(OR(C32=0,Basisdaten!E$7&gt;9,AND(C32=0.5,Basisdaten!E$7&lt;7)),0,IF(Basisdaten!E$7&lt;7,B32/C32/(13-Basisdaten!E$7),B32/C32/(13-Basisdaten!E$7)/2))</f>
        <v>0</v>
      </c>
      <c r="M32" s="63">
        <f>IF(OR(C32=0,Basisdaten!E$7&gt;10,AND(C32=0.5,Basisdaten!E$7&lt;7)),0,IF(Basisdaten!E$7&lt;7,B32/C32/(13-Basisdaten!E$7),B32/C32/(13-Basisdaten!E$7)/2))</f>
        <v>0</v>
      </c>
      <c r="N32" s="63">
        <f>IF(OR(C32=0,Basisdaten!E$7&gt;11,AND(C32=0.5,Basisdaten!E$7&lt;7)),0,IF(Basisdaten!E$7&lt;7,B32/C32/(13-Basisdaten!E$7),B32/C32/(13-Basisdaten!E$7)/2))</f>
        <v>0</v>
      </c>
      <c r="O32" s="79">
        <f>IF(OR(C32=0,Basisdaten!E$7&gt;12,AND(C32=0.5,Basisdaten!E$7&lt;7)),0,IF(Basisdaten!E$7&lt;7,B32/C32/(13-Basisdaten!E$7),B32/C32/(13-Basisdaten!E$7)/2))</f>
        <v>0</v>
      </c>
      <c r="P32" s="119">
        <f>SUM(D32:O32)</f>
        <v>0</v>
      </c>
      <c r="Q32" s="120">
        <f>B32-P32</f>
        <v>0</v>
      </c>
      <c r="R32" s="119">
        <f>IF(Q32&lt;=P32,Q32,IF(Basisdaten!E$7&lt;7,P32,P32*2))</f>
        <v>0</v>
      </c>
      <c r="S32" s="120">
        <f>Q32-R32</f>
        <v>0</v>
      </c>
      <c r="T32" s="119">
        <f>IF(S32&lt;R32,S32,R32)</f>
        <v>0</v>
      </c>
      <c r="U32" s="120">
        <f>S32-T32</f>
        <v>0</v>
      </c>
      <c r="V32" s="119">
        <f>IF(U32&lt;T32,U32,T32)</f>
        <v>0</v>
      </c>
      <c r="W32" s="120">
        <f>U32-V32</f>
        <v>0</v>
      </c>
    </row>
    <row r="33" spans="1:23" ht="15" customHeight="1" x14ac:dyDescent="0.2">
      <c r="A33" s="343" t="str">
        <f t="shared" ref="A33:C38" si="5">IF(A13="","",A13)</f>
        <v>Grundstück (umsatzsteuerfrei)</v>
      </c>
      <c r="B33" s="344"/>
      <c r="C33" s="121">
        <f t="shared" si="5"/>
        <v>0</v>
      </c>
      <c r="D33" s="122">
        <f>IF(AND(Basisdaten!E$7&lt;2,C13&gt;0),D13/C13/12,0)</f>
        <v>0</v>
      </c>
      <c r="E33" s="123">
        <f>D33+IF(AND(Basisdaten!E$7&lt;3,C13&gt;0),IF(Basisdaten!E$7=2,SUM(D13:E13)/C13/11,E13/C13/11),0)</f>
        <v>0</v>
      </c>
      <c r="F33" s="123">
        <f>E33+IF(AND(Basisdaten!E$7&lt;4,C13&gt;0),IF(Basisdaten!E$7=3,SUM(D13:F13)/C13/10,F13/C13/10),0)</f>
        <v>0</v>
      </c>
      <c r="G33" s="123">
        <f>F33+IF(AND(Basisdaten!E$7&lt;5,C13&gt;0),IF(Basisdaten!E$7=4,SUM(D13:G13)/C13/9,G13/C13/9),0)</f>
        <v>0</v>
      </c>
      <c r="H33" s="123">
        <f>G33+IF(AND(Basisdaten!E$7&lt;6,C13&gt;0),IF(Basisdaten!E$7=5,SUM(D13:H13)/C13/8,H13/C13/8),0)</f>
        <v>0</v>
      </c>
      <c r="I33" s="123">
        <f>H33+IF(AND(Basisdaten!E$7&lt;7,C13&gt;0),IF(Basisdaten!E$7=6,SUM(D13:I13)/C13/7,I13/C13/7),0)</f>
        <v>0</v>
      </c>
      <c r="J33" s="123">
        <f>I33+IF(AND(Basisdaten!E$7&lt;8,C13&gt;0),IF(Basisdaten!E$7=7,SUM(D13:J13)/C13/6/2,J13/C13/6/2),0)</f>
        <v>0</v>
      </c>
      <c r="K33" s="123">
        <f>J33+IF(AND(Basisdaten!E$7&lt;9,C13&gt;0),IF(Basisdaten!E$7=8,SUM(D13:K13)/C13/5/2,K13/C13/5/2),0)</f>
        <v>0</v>
      </c>
      <c r="L33" s="123">
        <f>K33+IF(AND(Basisdaten!E$7&lt;10,C13&gt;0),IF(Basisdaten!E$7=9,SUM(D13:L13)/C13/4/2,L13/C13/4/2),0)</f>
        <v>0</v>
      </c>
      <c r="M33" s="123">
        <f>L33+IF(AND(Basisdaten!E$7&lt;11,C13&gt;0),IF(Basisdaten!E$7=10,SUM(D13:M13)/C13/3/2,M13/C13/3/2),0)</f>
        <v>0</v>
      </c>
      <c r="N33" s="123">
        <f>M33+IF(AND(Basisdaten!E$7&lt;12,C13&gt;0),IF(Basisdaten!E$7=11,SUM(D13:N13)/C13/2/2,N13/C13/2/2),0)</f>
        <v>0</v>
      </c>
      <c r="O33" s="124">
        <f>N33+IF(C13&gt;0,IF(Basisdaten!E$7=12,SUM(D13:O13)/C13/2,O13/C13/2),0)</f>
        <v>0</v>
      </c>
      <c r="P33" s="119">
        <f>SUM(D33:O33)</f>
        <v>0</v>
      </c>
      <c r="Q33" s="120">
        <f>P13+Q13-P33</f>
        <v>0</v>
      </c>
      <c r="R33" s="119">
        <f>IF(C13&lt;1,0,IF(C13=1,Q13/C13/2,P13/C13+Q13/C13))+IF(C13&gt;0,R13/C13+S13/C13/2,0)</f>
        <v>0</v>
      </c>
      <c r="S33" s="120">
        <f>Q33+R13+S13-R33</f>
        <v>0</v>
      </c>
      <c r="T33" s="119">
        <f>IF(C13&lt;1,0,IF(C13=1,S13/C13/2,IF(C13=2,Q13/C13/2+R13/C13+S13/C13,P13/C13+Q13/C13+R13/C13+S13/C13)))+IF(C13&gt;0,T13/C13+U13/C13/2,0)</f>
        <v>0</v>
      </c>
      <c r="U33" s="120">
        <f>S33+T13+U13-T33</f>
        <v>0</v>
      </c>
      <c r="V33" s="119">
        <f>IF(C13&lt;1,0,IF(C13=1,U13/C13/2,IF(C13=2,S13/C13/2+T13/C13+U13/C13,IF(C13=3,Q13/C13/2+R13/C13+S13/C13+T13/C13+U13/C13,P13/C13+Q13/C13+R13/C13+S13/C13+T13/C13+U13/C13))))+IF(C13&gt;0,V13/C13+W13/C13/2,0)</f>
        <v>0</v>
      </c>
      <c r="W33" s="120">
        <f>U33+V13+W13-V33</f>
        <v>0</v>
      </c>
    </row>
    <row r="34" spans="1:23" ht="15" customHeight="1" x14ac:dyDescent="0.2">
      <c r="A34" s="343" t="str">
        <f t="shared" si="5"/>
        <v>Gebäude</v>
      </c>
      <c r="B34" s="344"/>
      <c r="C34" s="121">
        <f t="shared" si="5"/>
        <v>40</v>
      </c>
      <c r="D34" s="122">
        <f>IF(AND(Basisdaten!E$7&lt;2,C14&gt;0),D14/C14/12,0)</f>
        <v>0</v>
      </c>
      <c r="E34" s="123">
        <f>D34+IF(AND(Basisdaten!E$7&lt;3,C14&gt;0),IF(Basisdaten!E$7=2,SUM(D14:E14)/C14/11,E14/C14/11),0)</f>
        <v>0</v>
      </c>
      <c r="F34" s="123">
        <f>E34+IF(AND(Basisdaten!E$7&lt;4,C14&gt;0),IF(Basisdaten!E$7=3,SUM(D14:F14)/C14/10,F14/C14/10),0)</f>
        <v>0</v>
      </c>
      <c r="G34" s="123">
        <f>F34+IF(AND(Basisdaten!E$7&lt;5,C14&gt;0),IF(Basisdaten!E$7=4,SUM(D14:G14)/C14/9,G14/C14/9),0)</f>
        <v>0</v>
      </c>
      <c r="H34" s="123">
        <f>G34+IF(AND(Basisdaten!E$7&lt;6,C14&gt;0),IF(Basisdaten!E$7=5,SUM(D14:H14)/C14/8,H14/C14/8),0)</f>
        <v>0</v>
      </c>
      <c r="I34" s="123">
        <f>H34+IF(AND(Basisdaten!E$7&lt;7,C14&gt;0),IF(Basisdaten!E$7=6,SUM(D14:I14)/C14/7,I14/C14/7),0)</f>
        <v>0</v>
      </c>
      <c r="J34" s="123">
        <f>I34+IF(AND(Basisdaten!E$7&lt;8,C14&gt;0),IF(Basisdaten!E$7=7,SUM(D14:J14)/C14/6/2,J14/C14/6/2),0)</f>
        <v>0</v>
      </c>
      <c r="K34" s="123">
        <f>J34+IF(AND(Basisdaten!E$7&lt;9,C14&gt;0),IF(Basisdaten!E$7=8,SUM(D14:K14)/C14/5/2,K14/C14/5/2),0)</f>
        <v>0</v>
      </c>
      <c r="L34" s="123">
        <f>K34+IF(AND(Basisdaten!E$7&lt;10,C14&gt;0),IF(Basisdaten!E$7=9,SUM(D14:L14)/C14/4/2,L14/C14/4/2),0)</f>
        <v>0</v>
      </c>
      <c r="M34" s="123">
        <f>L34+IF(AND(Basisdaten!E$7&lt;11,C14&gt;0),IF(Basisdaten!E$7=10,SUM(D14:M14)/C14/3/2,M14/C14/3/2),0)</f>
        <v>0</v>
      </c>
      <c r="N34" s="123">
        <f>M34+IF(AND(Basisdaten!E$7&lt;12,C14&gt;0),IF(Basisdaten!E$7=11,SUM(D14:N14)/C14/2/2,N14/C14/2/2),0)</f>
        <v>0</v>
      </c>
      <c r="O34" s="124">
        <f>N34+IF(C14&gt;0,IF(Basisdaten!E$7=12,SUM(D14:O14)/C14/2,O14/C14/2),0)</f>
        <v>0</v>
      </c>
      <c r="P34" s="119">
        <f t="shared" si="4"/>
        <v>0</v>
      </c>
      <c r="Q34" s="120">
        <f>P14+Q14-P34</f>
        <v>0</v>
      </c>
      <c r="R34" s="119">
        <f>IF(C14&lt;1,0,IF(C14=1,Q14/C14/2,P14/C14+Q14/C14))+IF(C14&gt;0,R14/C14+S14/C14/2,0)</f>
        <v>0</v>
      </c>
      <c r="S34" s="120">
        <f>Q34+R14+S14-R34</f>
        <v>0</v>
      </c>
      <c r="T34" s="119">
        <f>IF(C14&lt;1,0,IF(C14=1,S14/C14/2,IF(C14=2,Q14/C14/2+R14/C14+S14/C14,P14/C14+Q14/C14+R14/C14+S14/C14)))+IF(C14&gt;0,T14/C14+U14/C14/2,0)</f>
        <v>0</v>
      </c>
      <c r="U34" s="120">
        <f>S34+T14+U14-T34</f>
        <v>0</v>
      </c>
      <c r="V34" s="119">
        <f>IF(C14&lt;1,0,IF(C14=1,U14/C14/2,IF(C14=2,S14/C14/2+T14/C14+U14/C14,IF(C14=3,Q14/C14/2+R14/C14+S14/C14+T14/C14+U14/C14,P14/C14+Q14/C14+R14/C14+S14/C14+T14/C14+U14/C14))))+IF(C14&gt;0,V14/C14+W14/C14/2,0)</f>
        <v>0</v>
      </c>
      <c r="W34" s="120">
        <f>U34+V14+W14-V34</f>
        <v>0</v>
      </c>
    </row>
    <row r="35" spans="1:23" ht="15" customHeight="1" x14ac:dyDescent="0.2">
      <c r="A35" s="343" t="str">
        <f t="shared" si="5"/>
        <v>Büroeinrichtung</v>
      </c>
      <c r="B35" s="344"/>
      <c r="C35" s="121">
        <f t="shared" si="5"/>
        <v>10</v>
      </c>
      <c r="D35" s="122">
        <f>IF(AND(Basisdaten!E$7&lt;2,C15&gt;0),D15/C15/12,0)</f>
        <v>0</v>
      </c>
      <c r="E35" s="123">
        <f>D35+IF(AND(Basisdaten!E$7&lt;3,C15&gt;0),IF(Basisdaten!E$7=2,SUM(D15:E15)/C15/11,E15/C15/11),0)</f>
        <v>0</v>
      </c>
      <c r="F35" s="123">
        <f>E35+IF(AND(Basisdaten!E$7&lt;4,C15&gt;0),IF(Basisdaten!E$7=3,SUM(D15:F15)/C15/10,F15/C15/10),0)</f>
        <v>0</v>
      </c>
      <c r="G35" s="123">
        <f>F35+IF(AND(Basisdaten!E$7&lt;5,C15&gt;0),IF(Basisdaten!E$7=4,SUM(D15:G15)/C15/9,G15/C15/9),0)</f>
        <v>0</v>
      </c>
      <c r="H35" s="123">
        <f>G35+IF(AND(Basisdaten!E$7&lt;6,C15&gt;0),IF(Basisdaten!E$7=5,SUM(D15:H15)/C15/8,H15/C15/8),0)</f>
        <v>0</v>
      </c>
      <c r="I35" s="123">
        <f>H35+IF(AND(Basisdaten!E$7&lt;7,C15&gt;0),IF(Basisdaten!E$7=6,SUM(D15:I15)/C15/7,I15/C15/7),0)</f>
        <v>0</v>
      </c>
      <c r="J35" s="123">
        <f>I35+IF(AND(Basisdaten!E$7&lt;8,C15&gt;0),IF(Basisdaten!E$7=7,SUM(D15:J15)/C15/6/2,J15/C15/6/2),0)</f>
        <v>0</v>
      </c>
      <c r="K35" s="123">
        <f>J35+IF(AND(Basisdaten!E$7&lt;9,C15&gt;0),IF(Basisdaten!E$7=8,SUM(D15:K15)/C15/5/2,K15/C15/5/2),0)</f>
        <v>0</v>
      </c>
      <c r="L35" s="123">
        <f>K35+IF(AND(Basisdaten!E$7&lt;10,C15&gt;0),IF(Basisdaten!E$7=9,SUM(D15:L15)/C15/4/2,L15/C15/4/2),0)</f>
        <v>0</v>
      </c>
      <c r="M35" s="123">
        <f>L35+IF(AND(Basisdaten!E$7&lt;11,C15&gt;0),IF(Basisdaten!E$7=10,SUM(D15:M15)/C15/3/2,M15/C15/3/2),0)</f>
        <v>0</v>
      </c>
      <c r="N35" s="123">
        <f>M35+IF(AND(Basisdaten!E$7&lt;12,C15&gt;0),IF(Basisdaten!E$7=11,SUM(D15:N15)/C15/2/2,N15/C15/2/2),0)</f>
        <v>0</v>
      </c>
      <c r="O35" s="124">
        <f>N35+IF(C15&gt;0,IF(Basisdaten!E$7=12,SUM(D15:O15)/C15/2,O15/C15/2),0)</f>
        <v>0</v>
      </c>
      <c r="P35" s="119">
        <f t="shared" si="4"/>
        <v>0</v>
      </c>
      <c r="Q35" s="120">
        <f t="shared" ref="Q35:Q41" si="6">P15+Q15-P35</f>
        <v>0</v>
      </c>
      <c r="R35" s="119">
        <f>IF(C15&lt;1,0,IF(C15=1,Q15/C15/2,P15/C15+Q15/C15))+IF(C15&gt;0,R15/C15+S15/C15/2,0)</f>
        <v>0</v>
      </c>
      <c r="S35" s="120">
        <f>Q35+R15+S15-R35</f>
        <v>0</v>
      </c>
      <c r="T35" s="119">
        <f>IF(C15&lt;1,0,IF(C15=1,S15/C15/2,IF(C15=2,Q15/C15/2+R15/C15+S15/C15,P15/C15+Q15/C15+R15/C15+S15/C15)))+IF(C15&gt;0,T15/C15+U15/C15/2,0)</f>
        <v>0</v>
      </c>
      <c r="U35" s="120">
        <f>S35+T15+U15-T35</f>
        <v>0</v>
      </c>
      <c r="V35" s="119">
        <f>IF(C15&lt;1,0,IF(C15=1,U15/C15/2,IF(C15=2,S15/C15/2+T15/C15+U15/C15,IF(C15=3,Q15/C15/2+R15/C15+S15/C15+T15/C15+U15/C15,P15/C15+Q15/C15+R15/C15+S15/C15+T15/C15+U15/C15))))+IF(C15&gt;0,V15/C15+W15/C15/2,0)</f>
        <v>0</v>
      </c>
      <c r="W35" s="120">
        <f>U35+V15+W15-V35</f>
        <v>0</v>
      </c>
    </row>
    <row r="36" spans="1:23" ht="15" customHeight="1" x14ac:dyDescent="0.2">
      <c r="A36" s="343" t="str">
        <f t="shared" si="5"/>
        <v>Büromaschinen</v>
      </c>
      <c r="B36" s="344"/>
      <c r="C36" s="121">
        <f t="shared" si="5"/>
        <v>5</v>
      </c>
      <c r="D36" s="122">
        <f>IF(AND(Basisdaten!E$7&lt;2,C16&gt;0),D16/C16/12,0)</f>
        <v>0</v>
      </c>
      <c r="E36" s="123">
        <f>D36+IF(AND(Basisdaten!E$7&lt;3,C16&gt;0),IF(Basisdaten!E$7=2,SUM(D16:E16)/C16/11,E16/C16/11),0)</f>
        <v>0</v>
      </c>
      <c r="F36" s="123">
        <f>E36+IF(AND(Basisdaten!E$7&lt;4,C16&gt;0),IF(Basisdaten!E$7=3,SUM(D16:F16)/C16/10,F16/C16/10),0)</f>
        <v>0</v>
      </c>
      <c r="G36" s="123">
        <f>F36+IF(AND(Basisdaten!E$7&lt;5,C16&gt;0),IF(Basisdaten!E$7=4,SUM(D16:G16)/C16/9,G16/C16/9),0)</f>
        <v>0</v>
      </c>
      <c r="H36" s="123">
        <f>G36+IF(AND(Basisdaten!E$7&lt;6,C16&gt;0),IF(Basisdaten!E$7=5,SUM(D16:H16)/C16/8,H16/C16/8),0)</f>
        <v>0</v>
      </c>
      <c r="I36" s="123">
        <f>H36+IF(AND(Basisdaten!E$7&lt;7,C16&gt;0),IF(Basisdaten!E$7=6,SUM(D16:I16)/C16/7,I16/C16/7),0)</f>
        <v>0</v>
      </c>
      <c r="J36" s="123">
        <f>I36+IF(AND(Basisdaten!E$7&lt;8,C16&gt;0),IF(Basisdaten!E$7=7,SUM(D16:J16)/C16/6/2,J16/C16/6/2),0)</f>
        <v>0</v>
      </c>
      <c r="K36" s="123">
        <f>J36+IF(AND(Basisdaten!E$7&lt;9,C16&gt;0),IF(Basisdaten!E$7=8,SUM(D16:K16)/C16/5/2,K16/C16/5/2),0)</f>
        <v>0</v>
      </c>
      <c r="L36" s="123">
        <f>K36+IF(AND(Basisdaten!E$7&lt;10,C16&gt;0),IF(Basisdaten!E$7=9,SUM(D16:L16)/C16/4/2,L16/C16/4/2),0)</f>
        <v>0</v>
      </c>
      <c r="M36" s="123">
        <f>L36+IF(AND(Basisdaten!E$7&lt;11,C16&gt;0),IF(Basisdaten!E$7=10,SUM(D16:M16)/C16/3/2,M16/C16/3/2),0)</f>
        <v>0</v>
      </c>
      <c r="N36" s="123">
        <f>M36+IF(AND(Basisdaten!E$7&lt;12,C16&gt;0),IF(Basisdaten!E$7=11,SUM(D16:N16)/C16/2/2,N16/C16/2/2),0)</f>
        <v>0</v>
      </c>
      <c r="O36" s="124">
        <f>N36+IF(C16&gt;0,IF(Basisdaten!E$7=12,SUM(D16:O16)/C16/2,O16/C16/2),0)</f>
        <v>0</v>
      </c>
      <c r="P36" s="119">
        <f t="shared" si="4"/>
        <v>0</v>
      </c>
      <c r="Q36" s="120">
        <f t="shared" si="6"/>
        <v>0</v>
      </c>
      <c r="R36" s="119">
        <f t="shared" ref="R36:R42" si="7">IF(C16&lt;1,0,IF(C16=1,Q16/C16/2,P16/C16+Q16/C16))+IF(C16&gt;0,R16/C16+S16/C16/2,0)</f>
        <v>0</v>
      </c>
      <c r="S36" s="120">
        <f t="shared" ref="S36:S42" si="8">Q36+R16+S16-R36</f>
        <v>0</v>
      </c>
      <c r="T36" s="119">
        <f t="shared" ref="T36:T42" si="9">IF(C16&lt;1,0,IF(C16=1,S16/C16/2,IF(C16=2,Q16/C16/2+R16/C16+S16/C16,P16/C16+Q16/C16+R16/C16+S16/C16)))+IF(C16&gt;0,T16/C16+U16/C16/2,0)</f>
        <v>0</v>
      </c>
      <c r="U36" s="120">
        <f t="shared" ref="U36:U42" si="10">S36+T16+U16-T36</f>
        <v>0</v>
      </c>
      <c r="V36" s="119">
        <f t="shared" ref="V36:V42" si="11">IF(C16&lt;1,0,IF(C16=1,U16/C16/2,IF(C16=2,S16/C16/2+T16/C16+U16/C16,IF(C16=3,Q16/C16/2+R16/C16+S16/C16+T16/C16+U16/C16,P16/C16+Q16/C16+R16/C16+S16/C16+T16/C16+U16/C16))))+IF(C16&gt;0,V16/C16+W16/C16/2,0)</f>
        <v>0</v>
      </c>
      <c r="W36" s="120">
        <f t="shared" ref="W36:W42" si="12">U36+V16+W16-V36</f>
        <v>0</v>
      </c>
    </row>
    <row r="37" spans="1:23" ht="15" customHeight="1" x14ac:dyDescent="0.2">
      <c r="A37" s="343" t="str">
        <f t="shared" si="5"/>
        <v>PKW/Kombi</v>
      </c>
      <c r="B37" s="344"/>
      <c r="C37" s="121">
        <f t="shared" si="5"/>
        <v>8</v>
      </c>
      <c r="D37" s="122">
        <f>IF(AND(Basisdaten!E$7&lt;2,C17&gt;0),D17/C17/12,0)</f>
        <v>0</v>
      </c>
      <c r="E37" s="123">
        <f>D37+IF(AND(Basisdaten!E$7&lt;3,C17&gt;0),IF(Basisdaten!E$7=2,SUM(D17:E17)/C17/11,E17/C17/11),0)</f>
        <v>0</v>
      </c>
      <c r="F37" s="123">
        <f>E37+IF(AND(Basisdaten!E$7&lt;4,C17&gt;0),IF(Basisdaten!E$7=3,SUM(D17:F17)/C17/10,F17/C17/10),0)</f>
        <v>0</v>
      </c>
      <c r="G37" s="123">
        <f>F37+IF(AND(Basisdaten!E$7&lt;5,C17&gt;0),IF(Basisdaten!E$7=4,SUM(D17:G17)/C17/9,G17/C17/9),0)</f>
        <v>0</v>
      </c>
      <c r="H37" s="123">
        <f>G37+IF(AND(Basisdaten!E$7&lt;6,C17&gt;0),IF(Basisdaten!E$7=5,SUM(D17:H17)/C17/8,H17/C17/8),0)</f>
        <v>0</v>
      </c>
      <c r="I37" s="123">
        <f>H37+IF(AND(Basisdaten!E$7&lt;7,C17&gt;0),IF(Basisdaten!E$7=6,SUM(D17:I17)/C17/7,I17/C17/7),0)</f>
        <v>0</v>
      </c>
      <c r="J37" s="123">
        <f>I37+IF(AND(Basisdaten!E$7&lt;8,C17&gt;0),IF(Basisdaten!E$7=7,SUM(D17:J17)/C17/6/2,J17/C17/6/2),0)</f>
        <v>0</v>
      </c>
      <c r="K37" s="123">
        <f>J37+IF(AND(Basisdaten!E$7&lt;9,C17&gt;0),IF(Basisdaten!E$7=8,SUM(D17:K17)/C17/5/2,K17/C17/5/2),0)</f>
        <v>0</v>
      </c>
      <c r="L37" s="123">
        <f>K37+IF(AND(Basisdaten!E$7&lt;10,C17&gt;0),IF(Basisdaten!E$7=9,SUM(D17:L17)/C17/4/2,L17/C17/4/2),0)</f>
        <v>0</v>
      </c>
      <c r="M37" s="123">
        <f>L37+IF(AND(Basisdaten!E$7&lt;11,C17&gt;0),IF(Basisdaten!E$7=10,SUM(D17:M17)/C17/3/2,M17/C17/3/2),0)</f>
        <v>0</v>
      </c>
      <c r="N37" s="123">
        <f>M37+IF(AND(Basisdaten!E$7&lt;12,C17&gt;0),IF(Basisdaten!E$7=11,SUM(D17:N17)/C17/2/2,N17/C17/2/2),0)</f>
        <v>0</v>
      </c>
      <c r="O37" s="124">
        <f>N37+IF(C17&gt;0,IF(Basisdaten!E$7=12,SUM(D17:O17)/C17/2,O17/C17/2),0)</f>
        <v>0</v>
      </c>
      <c r="P37" s="119">
        <f t="shared" si="4"/>
        <v>0</v>
      </c>
      <c r="Q37" s="120">
        <f t="shared" si="6"/>
        <v>0</v>
      </c>
      <c r="R37" s="119">
        <f t="shared" si="7"/>
        <v>0</v>
      </c>
      <c r="S37" s="120">
        <f t="shared" si="8"/>
        <v>0</v>
      </c>
      <c r="T37" s="119">
        <f t="shared" si="9"/>
        <v>0</v>
      </c>
      <c r="U37" s="120">
        <f t="shared" si="10"/>
        <v>0</v>
      </c>
      <c r="V37" s="119">
        <f t="shared" si="11"/>
        <v>0</v>
      </c>
      <c r="W37" s="120">
        <f t="shared" si="12"/>
        <v>0</v>
      </c>
    </row>
    <row r="38" spans="1:23" ht="15" customHeight="1" x14ac:dyDescent="0.2">
      <c r="A38" s="343" t="str">
        <f t="shared" si="5"/>
        <v>Computer</v>
      </c>
      <c r="B38" s="344"/>
      <c r="C38" s="121">
        <f t="shared" si="5"/>
        <v>3</v>
      </c>
      <c r="D38" s="122">
        <f>IF(AND(Basisdaten!E$7&lt;2,C18&gt;0),D18/C18/12,0)</f>
        <v>0</v>
      </c>
      <c r="E38" s="123">
        <f>D38+IF(AND(Basisdaten!E$7&lt;3,C18&gt;0),IF(Basisdaten!E$7=2,SUM(D18:E18)/C18/11,E18/C18/11),0)</f>
        <v>0</v>
      </c>
      <c r="F38" s="123">
        <f>E38+IF(AND(Basisdaten!E$7&lt;4,C18&gt;0),IF(Basisdaten!E$7=3,SUM(D18:F18)/C18/10,F18/C18/10),0)</f>
        <v>0</v>
      </c>
      <c r="G38" s="123">
        <f>F38+IF(AND(Basisdaten!E$7&lt;5,C18&gt;0),IF(Basisdaten!E$7=4,SUM(D18:G18)/C18/9,G18/C18/9),0)</f>
        <v>0</v>
      </c>
      <c r="H38" s="123">
        <f>G38+IF(AND(Basisdaten!E$7&lt;6,C18&gt;0),IF(Basisdaten!E$7=5,SUM(D18:H18)/C18/8,H18/C18/8),0)</f>
        <v>0</v>
      </c>
      <c r="I38" s="123">
        <f>H38+IF(AND(Basisdaten!E$7&lt;7,C18&gt;0),IF(Basisdaten!E$7=6,SUM(D18:I18)/C18/7,I18/C18/7),0)</f>
        <v>0</v>
      </c>
      <c r="J38" s="123">
        <f>I38+IF(AND(Basisdaten!E$7&lt;8,C18&gt;0),IF(Basisdaten!E$7=7,SUM(D18:J18)/C18/6/2,J18/C18/6/2),0)</f>
        <v>0</v>
      </c>
      <c r="K38" s="123">
        <f>J38+IF(AND(Basisdaten!E$7&lt;9,C18&gt;0),IF(Basisdaten!E$7=8,SUM(D18:K18)/C18/5/2,K18/C18/5/2),0)</f>
        <v>50</v>
      </c>
      <c r="L38" s="123">
        <f>K38+IF(AND(Basisdaten!E$7&lt;10,C18&gt;0),IF(Basisdaten!E$7=9,SUM(D18:L18)/C18/4/2,L18/C18/4/2),0)</f>
        <v>50</v>
      </c>
      <c r="M38" s="123">
        <f>L38+IF(AND(Basisdaten!E$7&lt;11,C18&gt;0),IF(Basisdaten!E$7=10,SUM(D18:M18)/C18/3/2,M18/C18/3/2),0)</f>
        <v>50</v>
      </c>
      <c r="N38" s="123">
        <f>M38+IF(AND(Basisdaten!E$7&lt;12,C18&gt;0),IF(Basisdaten!E$7=11,SUM(D18:N18)/C18/2/2,N18/C18/2/2),0)</f>
        <v>50</v>
      </c>
      <c r="O38" s="124">
        <f>N38+IF(C18&gt;0,IF(Basisdaten!E$7=12,SUM(D18:O18)/C18/2,O18/C18/2),0)</f>
        <v>50</v>
      </c>
      <c r="P38" s="119">
        <f t="shared" si="4"/>
        <v>250</v>
      </c>
      <c r="Q38" s="120">
        <f>P18+Q18-P38</f>
        <v>1250</v>
      </c>
      <c r="R38" s="119">
        <f t="shared" si="7"/>
        <v>500</v>
      </c>
      <c r="S38" s="120">
        <f t="shared" si="8"/>
        <v>750</v>
      </c>
      <c r="T38" s="119">
        <f t="shared" si="9"/>
        <v>500</v>
      </c>
      <c r="U38" s="120">
        <f t="shared" si="10"/>
        <v>250</v>
      </c>
      <c r="V38" s="119">
        <f t="shared" si="11"/>
        <v>250</v>
      </c>
      <c r="W38" s="120">
        <f t="shared" si="12"/>
        <v>0</v>
      </c>
    </row>
    <row r="39" spans="1:23" ht="15" customHeight="1" x14ac:dyDescent="0.2">
      <c r="A39" s="343" t="str">
        <f t="shared" ref="A39:C42" si="13">IF(A19="","",A19)</f>
        <v/>
      </c>
      <c r="B39" s="344"/>
      <c r="C39" s="121" t="str">
        <f t="shared" si="13"/>
        <v/>
      </c>
      <c r="D39" s="122">
        <f>IF(AND(Basisdaten!E$7&lt;2,C19&gt;0),D19/C19/12,0)</f>
        <v>0</v>
      </c>
      <c r="E39" s="123">
        <f>D39+IF(AND(Basisdaten!E$7&lt;3,C19&gt;0),IF(Basisdaten!E$7=2,SUM(D19:E19)/C19/11,E19/C19/11),0)</f>
        <v>0</v>
      </c>
      <c r="F39" s="123">
        <f>E39+IF(AND(Basisdaten!E$7&lt;4,C19&gt;0),IF(Basisdaten!E$7=3,SUM(D19:F19)/C19/10,F19/C19/10),0)</f>
        <v>0</v>
      </c>
      <c r="G39" s="123">
        <f>F39+IF(AND(Basisdaten!E$7&lt;5,C19&gt;0),IF(Basisdaten!E$7=4,SUM(D19:G19)/C19/9,G19/C19/9),0)</f>
        <v>0</v>
      </c>
      <c r="H39" s="123">
        <f>G39+IF(AND(Basisdaten!E$7&lt;6,C19&gt;0),IF(Basisdaten!E$7=5,SUM(D19:H19)/C19/8,H19/C19/8),0)</f>
        <v>0</v>
      </c>
      <c r="I39" s="123">
        <f>H39+IF(AND(Basisdaten!E$7&lt;7,C19&gt;0),IF(Basisdaten!E$7=6,SUM(D19:I19)/C19/7,I19/C19/7),0)</f>
        <v>0</v>
      </c>
      <c r="J39" s="123">
        <f>I39+IF(AND(Basisdaten!E$7&lt;8,C19&gt;0),IF(Basisdaten!E$7=7,SUM(D19:J19)/C19/6/2,J19/C19/6/2),0)</f>
        <v>0</v>
      </c>
      <c r="K39" s="123">
        <f>J39+IF(AND(Basisdaten!E$7&lt;9,C19&gt;0),IF(Basisdaten!E$7=8,SUM(D19:K19)/C19/5/2,K19/C19/5/2),0)</f>
        <v>0</v>
      </c>
      <c r="L39" s="123">
        <f>K39+IF(AND(Basisdaten!E$7&lt;10,C19&gt;0),IF(Basisdaten!E$7=9,SUM(D19:L19)/C19/4/2,L19/C19/4/2),0)</f>
        <v>0</v>
      </c>
      <c r="M39" s="123">
        <f>L39+IF(AND(Basisdaten!E$7&lt;11,C19&gt;0),IF(Basisdaten!E$7=10,SUM(D19:M19)/C19/3/2,M19/C19/3/2),0)</f>
        <v>0</v>
      </c>
      <c r="N39" s="123">
        <f>M39+IF(AND(Basisdaten!E$7&lt;12,C19&gt;0),IF(Basisdaten!E$7=11,SUM(D19:N19)/C19/2/2,N19/C19/2/2),0)</f>
        <v>0</v>
      </c>
      <c r="O39" s="124">
        <f>N39+IF(C19&gt;0,IF(Basisdaten!E$7=12,SUM(D19:O19)/C19/2,O19/C19/2),0)</f>
        <v>0</v>
      </c>
      <c r="P39" s="119">
        <f t="shared" si="4"/>
        <v>0</v>
      </c>
      <c r="Q39" s="120">
        <f t="shared" si="6"/>
        <v>0</v>
      </c>
      <c r="R39" s="119">
        <f t="shared" si="7"/>
        <v>0</v>
      </c>
      <c r="S39" s="120">
        <f t="shared" si="8"/>
        <v>0</v>
      </c>
      <c r="T39" s="119">
        <f t="shared" si="9"/>
        <v>0</v>
      </c>
      <c r="U39" s="120">
        <f t="shared" si="10"/>
        <v>0</v>
      </c>
      <c r="V39" s="119">
        <f t="shared" si="11"/>
        <v>0</v>
      </c>
      <c r="W39" s="120">
        <f t="shared" si="12"/>
        <v>0</v>
      </c>
    </row>
    <row r="40" spans="1:23" ht="15" customHeight="1" x14ac:dyDescent="0.2">
      <c r="A40" s="343" t="str">
        <f t="shared" si="13"/>
        <v/>
      </c>
      <c r="B40" s="344"/>
      <c r="C40" s="121" t="str">
        <f t="shared" si="13"/>
        <v/>
      </c>
      <c r="D40" s="122">
        <f>IF(AND(Basisdaten!E$7&lt;2,C20&gt;0),D20/C20/12,0)</f>
        <v>0</v>
      </c>
      <c r="E40" s="123">
        <f>D40+IF(AND(Basisdaten!E$7&lt;3,C20&gt;0),IF(Basisdaten!E$7=2,SUM(D20:E20)/C20/11,E20/C20/11),0)</f>
        <v>0</v>
      </c>
      <c r="F40" s="123">
        <f>E40+IF(AND(Basisdaten!E$7&lt;4,C20&gt;0),IF(Basisdaten!E$7=3,SUM(D20:F20)/C20/10,F20/C20/10),0)</f>
        <v>0</v>
      </c>
      <c r="G40" s="123">
        <f>F40+IF(AND(Basisdaten!E$7&lt;5,C20&gt;0),IF(Basisdaten!E$7=4,SUM(D20:G20)/C20/9,G20/C20/9),0)</f>
        <v>0</v>
      </c>
      <c r="H40" s="123">
        <f>G40+IF(AND(Basisdaten!E$7&lt;6,C20&gt;0),IF(Basisdaten!E$7=5,SUM(D20:H20)/C20/8,H20/C20/8),0)</f>
        <v>0</v>
      </c>
      <c r="I40" s="123">
        <f>H40+IF(AND(Basisdaten!E$7&lt;7,C20&gt;0),IF(Basisdaten!E$7=6,SUM(D20:I20)/C20/7,I20/C20/7),0)</f>
        <v>0</v>
      </c>
      <c r="J40" s="123">
        <f>I40+IF(AND(Basisdaten!E$7&lt;8,C20&gt;0),IF(Basisdaten!E$7=7,SUM(D20:J20)/C20/6/2,J20/C20/6/2),0)</f>
        <v>0</v>
      </c>
      <c r="K40" s="123">
        <f>J40+IF(AND(Basisdaten!E$7&lt;9,C20&gt;0),IF(Basisdaten!E$7=8,SUM(D20:K20)/C20/5/2,K20/C20/5/2),0)</f>
        <v>0</v>
      </c>
      <c r="L40" s="123">
        <f>K40+IF(AND(Basisdaten!E$7&lt;10,C20&gt;0),IF(Basisdaten!E$7=9,SUM(D20:L20)/C20/4/2,L20/C20/4/2),0)</f>
        <v>0</v>
      </c>
      <c r="M40" s="123">
        <f>L40+IF(AND(Basisdaten!E$7&lt;11,C20&gt;0),IF(Basisdaten!E$7=10,SUM(D20:M20)/C20/3/2,M20/C20/3/2),0)</f>
        <v>0</v>
      </c>
      <c r="N40" s="123">
        <f>M40+IF(AND(Basisdaten!E$7&lt;12,C20&gt;0),IF(Basisdaten!E$7=11,SUM(D20:N20)/C20/2/2,N20/C20/2/2),0)</f>
        <v>0</v>
      </c>
      <c r="O40" s="124">
        <f>N40+IF(C20&gt;0,IF(Basisdaten!E$7=12,SUM(D20:O20)/C20/2,O20/C20/2),0)</f>
        <v>0</v>
      </c>
      <c r="P40" s="119">
        <f>SUM(D40:O40)</f>
        <v>0</v>
      </c>
      <c r="Q40" s="120">
        <f t="shared" si="6"/>
        <v>0</v>
      </c>
      <c r="R40" s="119">
        <f t="shared" si="7"/>
        <v>0</v>
      </c>
      <c r="S40" s="120">
        <f t="shared" si="8"/>
        <v>0</v>
      </c>
      <c r="T40" s="119">
        <f t="shared" si="9"/>
        <v>0</v>
      </c>
      <c r="U40" s="120">
        <f t="shared" si="10"/>
        <v>0</v>
      </c>
      <c r="V40" s="119">
        <f t="shared" si="11"/>
        <v>0</v>
      </c>
      <c r="W40" s="120">
        <f t="shared" si="12"/>
        <v>0</v>
      </c>
    </row>
    <row r="41" spans="1:23" ht="15" customHeight="1" x14ac:dyDescent="0.2">
      <c r="A41" s="343" t="str">
        <f t="shared" si="13"/>
        <v/>
      </c>
      <c r="B41" s="344"/>
      <c r="C41" s="121" t="str">
        <f t="shared" si="13"/>
        <v/>
      </c>
      <c r="D41" s="122">
        <f>IF(AND(Basisdaten!E$7&lt;2,C21&gt;0),D21/C21/12,0)</f>
        <v>0</v>
      </c>
      <c r="E41" s="123">
        <f>D41+IF(AND(Basisdaten!E$7&lt;3,C21&gt;0),IF(Basisdaten!E$7=2,SUM(D21:E21)/C21/11,E21/C21/11),0)</f>
        <v>0</v>
      </c>
      <c r="F41" s="123">
        <f>E41+IF(AND(Basisdaten!E$7&lt;4,C21&gt;0),IF(Basisdaten!E$7=3,SUM(D21:F21)/C21/10,F21/C21/10),0)</f>
        <v>0</v>
      </c>
      <c r="G41" s="123">
        <f>F41+IF(AND(Basisdaten!E$7&lt;5,C21&gt;0),IF(Basisdaten!E$7=4,SUM(D21:G21)/C21/9,G21/C21/9),0)</f>
        <v>0</v>
      </c>
      <c r="H41" s="123">
        <f>G41+IF(AND(Basisdaten!E$7&lt;6,C21&gt;0),IF(Basisdaten!E$7=5,SUM(D21:H21)/C21/8,H21/C21/8),0)</f>
        <v>0</v>
      </c>
      <c r="I41" s="123">
        <f>H41+IF(AND(Basisdaten!E$7&lt;7,C21&gt;0),IF(Basisdaten!E$7=6,SUM(D21:I21)/C21/7,I21/C21/7),0)</f>
        <v>0</v>
      </c>
      <c r="J41" s="123">
        <f>I41+IF(AND(Basisdaten!E$7&lt;8,C21&gt;0),IF(Basisdaten!E$7=7,SUM(D21:J21)/C21/6/2,J21/C21/6/2),0)</f>
        <v>0</v>
      </c>
      <c r="K41" s="123">
        <f>J41+IF(AND(Basisdaten!E$7&lt;9,C21&gt;0),IF(Basisdaten!E$7=8,SUM(D21:K21)/C21/5/2,K21/C21/5/2),0)</f>
        <v>0</v>
      </c>
      <c r="L41" s="123">
        <f>K41+IF(AND(Basisdaten!E$7&lt;10,C21&gt;0),IF(Basisdaten!E$7=9,SUM(D21:L21)/C21/4/2,L21/C21/4/2),0)</f>
        <v>0</v>
      </c>
      <c r="M41" s="123">
        <f>L41+IF(AND(Basisdaten!E$7&lt;11,C21&gt;0),IF(Basisdaten!E$7=10,SUM(D21:M21)/C21/3/2,M21/C21/3/2),0)</f>
        <v>0</v>
      </c>
      <c r="N41" s="123">
        <f>M41+IF(AND(Basisdaten!E$7&lt;12,C21&gt;0),IF(Basisdaten!E$7=11,SUM(D21:N21)/C21/2/2,N21/C21/2/2),0)</f>
        <v>0</v>
      </c>
      <c r="O41" s="124">
        <f>N41+IF(C21&gt;0,IF(Basisdaten!E$7=12,SUM(D21:O21)/C21/2,O21/C21/2),0)</f>
        <v>0</v>
      </c>
      <c r="P41" s="119">
        <f t="shared" si="4"/>
        <v>0</v>
      </c>
      <c r="Q41" s="120">
        <f t="shared" si="6"/>
        <v>0</v>
      </c>
      <c r="R41" s="119">
        <f t="shared" si="7"/>
        <v>0</v>
      </c>
      <c r="S41" s="120">
        <f t="shared" si="8"/>
        <v>0</v>
      </c>
      <c r="T41" s="119">
        <f t="shared" si="9"/>
        <v>0</v>
      </c>
      <c r="U41" s="120">
        <f t="shared" si="10"/>
        <v>0</v>
      </c>
      <c r="V41" s="119">
        <f t="shared" si="11"/>
        <v>0</v>
      </c>
      <c r="W41" s="120">
        <f t="shared" si="12"/>
        <v>0</v>
      </c>
    </row>
    <row r="42" spans="1:23" ht="15" customHeight="1" x14ac:dyDescent="0.2">
      <c r="A42" s="343" t="str">
        <f t="shared" si="13"/>
        <v/>
      </c>
      <c r="B42" s="344"/>
      <c r="C42" s="121" t="str">
        <f t="shared" si="13"/>
        <v/>
      </c>
      <c r="D42" s="122">
        <f>IF(AND(Basisdaten!E$7&lt;2,C22&gt;0),D22/C22/12,0)</f>
        <v>0</v>
      </c>
      <c r="E42" s="123">
        <f>D42+IF(AND(Basisdaten!E$7&lt;3,C22&gt;0),IF(Basisdaten!E$7=2,SUM(D22:E22)/C22/11,E22/C22/11),0)</f>
        <v>0</v>
      </c>
      <c r="F42" s="123">
        <f>E42+IF(AND(Basisdaten!E$7&lt;4,C22&gt;0),IF(Basisdaten!E$7=3,SUM(D22:F22)/C22/10,F22/C22/10),0)</f>
        <v>0</v>
      </c>
      <c r="G42" s="123">
        <f>F42+IF(AND(Basisdaten!E$7&lt;5,C22&gt;0),IF(Basisdaten!E$7=4,SUM(D22:G22)/C22/9,G22/C22/9),0)</f>
        <v>0</v>
      </c>
      <c r="H42" s="123">
        <f>G42+IF(AND(Basisdaten!E$7&lt;6,C22&gt;0),IF(Basisdaten!E$7=5,SUM(D22:H22)/C22/8,H22/C22/8),0)</f>
        <v>0</v>
      </c>
      <c r="I42" s="123">
        <f>H42+IF(AND(Basisdaten!E$7&lt;7,C22&gt;0),IF(Basisdaten!E$7=6,SUM(D22:I22)/C22/7,I22/C22/7),0)</f>
        <v>0</v>
      </c>
      <c r="J42" s="123">
        <f>I42+IF(AND(Basisdaten!E$7&lt;8,C22&gt;0),IF(Basisdaten!E$7=7,SUM(D22:J22)/C22/6/2,J22/C22/6/2),0)</f>
        <v>0</v>
      </c>
      <c r="K42" s="123">
        <f>J42+IF(AND(Basisdaten!E$7&lt;9,C22&gt;0),IF(Basisdaten!E$7=8,SUM(D22:K22)/C22/5/2,K22/C22/5/2),0)</f>
        <v>0</v>
      </c>
      <c r="L42" s="123">
        <f>K42+IF(AND(Basisdaten!E$7&lt;10,C22&gt;0),IF(Basisdaten!E$7=9,SUM(D22:L22)/C22/4/2,L22/C22/4/2),0)</f>
        <v>0</v>
      </c>
      <c r="M42" s="123">
        <f>L42+IF(AND(Basisdaten!E$7&lt;11,C22&gt;0),IF(Basisdaten!E$7=10,SUM(D22:M22)/C22/3/2,M22/C22/3/2),0)</f>
        <v>0</v>
      </c>
      <c r="N42" s="123">
        <f>M42+IF(AND(Basisdaten!E$7&lt;12,C22&gt;0),IF(Basisdaten!E$7=11,SUM(D22:N22)/C22/2/2,N22/C22/2/2),0)</f>
        <v>0</v>
      </c>
      <c r="O42" s="124">
        <f>N42+IF(C22&gt;0,IF(Basisdaten!E$7=12,SUM(D22:O22)/C22/2,O22/C22/2),0)</f>
        <v>0</v>
      </c>
      <c r="P42" s="119">
        <f>SUM(D42:O42)</f>
        <v>0</v>
      </c>
      <c r="Q42" s="120">
        <f>P22+Q22-P42</f>
        <v>0</v>
      </c>
      <c r="R42" s="119">
        <f t="shared" si="7"/>
        <v>0</v>
      </c>
      <c r="S42" s="120">
        <f t="shared" si="8"/>
        <v>0</v>
      </c>
      <c r="T42" s="119">
        <f t="shared" si="9"/>
        <v>0</v>
      </c>
      <c r="U42" s="120">
        <f t="shared" si="10"/>
        <v>0</v>
      </c>
      <c r="V42" s="119">
        <f t="shared" si="11"/>
        <v>0</v>
      </c>
      <c r="W42" s="120">
        <f t="shared" si="12"/>
        <v>0</v>
      </c>
    </row>
    <row r="43" spans="1:23" ht="15" customHeight="1" thickBot="1" x14ac:dyDescent="0.25">
      <c r="A43" s="348" t="s">
        <v>12</v>
      </c>
      <c r="B43" s="349"/>
      <c r="C43" s="350"/>
      <c r="D43" s="100">
        <f>SUM(D28:D42)</f>
        <v>0</v>
      </c>
      <c r="E43" s="101">
        <f t="shared" ref="E43:N43" si="14">SUM(E28:E42)</f>
        <v>0</v>
      </c>
      <c r="F43" s="101">
        <f t="shared" si="14"/>
        <v>0</v>
      </c>
      <c r="G43" s="101">
        <f t="shared" si="14"/>
        <v>0</v>
      </c>
      <c r="H43" s="101">
        <f t="shared" si="14"/>
        <v>0</v>
      </c>
      <c r="I43" s="101">
        <f t="shared" si="14"/>
        <v>0</v>
      </c>
      <c r="J43" s="101">
        <f t="shared" si="14"/>
        <v>0</v>
      </c>
      <c r="K43" s="101">
        <f t="shared" si="14"/>
        <v>50</v>
      </c>
      <c r="L43" s="101">
        <f t="shared" si="14"/>
        <v>50</v>
      </c>
      <c r="M43" s="101">
        <f t="shared" si="14"/>
        <v>50</v>
      </c>
      <c r="N43" s="101">
        <f t="shared" si="14"/>
        <v>50</v>
      </c>
      <c r="O43" s="83">
        <f>SUM(O28:O42)</f>
        <v>50</v>
      </c>
      <c r="P43" s="100">
        <f>SUM(P28:P42)</f>
        <v>250</v>
      </c>
      <c r="Q43" s="125">
        <f t="shared" ref="Q43:W43" si="15">SUM(Q28:Q42)</f>
        <v>1250</v>
      </c>
      <c r="R43" s="100">
        <f t="shared" si="15"/>
        <v>500</v>
      </c>
      <c r="S43" s="125">
        <f t="shared" si="15"/>
        <v>750</v>
      </c>
      <c r="T43" s="100">
        <f t="shared" si="15"/>
        <v>500</v>
      </c>
      <c r="U43" s="125">
        <f t="shared" si="15"/>
        <v>250</v>
      </c>
      <c r="V43" s="100">
        <f t="shared" si="15"/>
        <v>250</v>
      </c>
      <c r="W43" s="125">
        <f t="shared" si="15"/>
        <v>0</v>
      </c>
    </row>
    <row r="44" spans="1:23" ht="15" customHeight="1" x14ac:dyDescent="0.2">
      <c r="A44" s="56"/>
      <c r="B44" s="56"/>
      <c r="C44" s="56"/>
      <c r="D44" s="196">
        <f>D23-D43+IF(A7=1,SUM(B28:B32),0)</f>
        <v>0</v>
      </c>
      <c r="E44" s="196">
        <f>D44+E23-E43+IF(A7=2,SUM(B28:B32),0)</f>
        <v>0</v>
      </c>
      <c r="F44" s="196">
        <f>E44+F23-F43+IF(A7=3,SUM(B28:B32),0)</f>
        <v>0</v>
      </c>
      <c r="G44" s="196">
        <f>F44+G23-G43+IF(A7=4,SUM(B28:B32),0)</f>
        <v>0</v>
      </c>
      <c r="H44" s="196">
        <f>G44+H23-H43+IF(A7=5,SUM(B28:B32),0)</f>
        <v>0</v>
      </c>
      <c r="I44" s="196">
        <f>H44+I23-I43+IF(A7=6,SUM(B28:B32),0)</f>
        <v>0</v>
      </c>
      <c r="J44" s="196">
        <f>I44+J23-J43+IF(A7=7,SUM(B28:B32),0)</f>
        <v>0</v>
      </c>
      <c r="K44" s="196">
        <f>J44+K23-K43+IF(A7=8,SUM(B28:B32),0)</f>
        <v>1450</v>
      </c>
      <c r="L44" s="196">
        <f>K44+L23-L43+IF(A7=9,SUM(B28:B32),0)</f>
        <v>1400</v>
      </c>
      <c r="M44" s="196">
        <f>L44+M23-M43+IF(A7=10,SUM(B28:B32),0)</f>
        <v>1350</v>
      </c>
      <c r="N44" s="196">
        <f>M44+N23-N43+IF(A7=11,SUM(B28:B32),0)</f>
        <v>1300</v>
      </c>
      <c r="O44" s="196">
        <f>N44+O23-O43+IF(A7=12,SUM(B28:B32),0)</f>
        <v>1250</v>
      </c>
      <c r="P44" s="97"/>
      <c r="Q44" s="97"/>
      <c r="R44" s="97"/>
    </row>
    <row r="45" spans="1:23" ht="15" customHeight="1" x14ac:dyDescent="0.2">
      <c r="A45" s="56"/>
      <c r="B45" s="56"/>
      <c r="C45" s="56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</row>
    <row r="46" spans="1:23" ht="15" customHeight="1" x14ac:dyDescent="0.2">
      <c r="A46" s="56"/>
      <c r="B46" s="56"/>
      <c r="C46" s="56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</row>
    <row r="47" spans="1:23" ht="15" customHeight="1" x14ac:dyDescent="0.2">
      <c r="A47" s="56"/>
      <c r="B47" s="56"/>
      <c r="C47" s="56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</row>
    <row r="48" spans="1:23" ht="15" customHeight="1" x14ac:dyDescent="0.2">
      <c r="A48" s="56"/>
      <c r="B48" s="56"/>
      <c r="C48" s="56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</row>
    <row r="49" ht="15" customHeight="1" x14ac:dyDescent="0.2"/>
    <row r="50" ht="15" customHeight="1" x14ac:dyDescent="0.2"/>
    <row r="51" ht="15" customHeight="1" x14ac:dyDescent="0.2"/>
  </sheetData>
  <sheetProtection algorithmName="SHA-512" hashValue="NsuQkntApAb9voK7gdR5eghWBeyOnnvZChiaPEYHsOXSDlAiOheBgOwlne0mCC/Na/co1X+H2uu7JAQH/OWAxQ==" saltValue="q984w7nY1QTfYwhlJXqVmg==" spinCount="100000" sheet="1" objects="1" scenarios="1"/>
  <mergeCells count="35">
    <mergeCell ref="D10:E10"/>
    <mergeCell ref="A43:C43"/>
    <mergeCell ref="A20:B20"/>
    <mergeCell ref="A21:B21"/>
    <mergeCell ref="A22:B22"/>
    <mergeCell ref="A23:C23"/>
    <mergeCell ref="A41:B41"/>
    <mergeCell ref="A35:B35"/>
    <mergeCell ref="A36:B36"/>
    <mergeCell ref="A42:B42"/>
    <mergeCell ref="A37:B37"/>
    <mergeCell ref="A12:B12"/>
    <mergeCell ref="A13:B13"/>
    <mergeCell ref="A14:B14"/>
    <mergeCell ref="A40:B40"/>
    <mergeCell ref="A38:B38"/>
    <mergeCell ref="A39:B39"/>
    <mergeCell ref="A15:B15"/>
    <mergeCell ref="A16:B16"/>
    <mergeCell ref="A17:B17"/>
    <mergeCell ref="A18:B18"/>
    <mergeCell ref="A33:B33"/>
    <mergeCell ref="A34:B34"/>
    <mergeCell ref="A19:B19"/>
    <mergeCell ref="P23:Q23"/>
    <mergeCell ref="R23:S23"/>
    <mergeCell ref="T23:U23"/>
    <mergeCell ref="V23:W23"/>
    <mergeCell ref="P12:Q12"/>
    <mergeCell ref="R10:S10"/>
    <mergeCell ref="T10:U10"/>
    <mergeCell ref="V10:W10"/>
    <mergeCell ref="R12:S12"/>
    <mergeCell ref="T12:U12"/>
    <mergeCell ref="V12:W12"/>
  </mergeCells>
  <phoneticPr fontId="0" type="noConversion"/>
  <conditionalFormatting sqref="C13:O22 R13:W22 B28:C32">
    <cfRule type="expression" dxfId="41" priority="1">
      <formula>AND(FÜ=0,Leer=FALSE)</formula>
    </cfRule>
  </conditionalFormatting>
  <conditionalFormatting sqref="D12:D23 D27:D43">
    <cfRule type="expression" dxfId="40" priority="546" stopIfTrue="1">
      <formula>$A$7&gt;1</formula>
    </cfRule>
  </conditionalFormatting>
  <conditionalFormatting sqref="E12:E23 E27:E43">
    <cfRule type="expression" dxfId="39" priority="548" stopIfTrue="1">
      <formula>$A$7&gt;2</formula>
    </cfRule>
  </conditionalFormatting>
  <conditionalFormatting sqref="F12:F23 F27:F43">
    <cfRule type="expression" dxfId="38" priority="550" stopIfTrue="1">
      <formula>$A$7&gt;3</formula>
    </cfRule>
  </conditionalFormatting>
  <conditionalFormatting sqref="G12:G23 G27:G43">
    <cfRule type="expression" dxfId="37" priority="552" stopIfTrue="1">
      <formula>$A$7&gt;4</formula>
    </cfRule>
  </conditionalFormatting>
  <conditionalFormatting sqref="H12:H23 H27:H43">
    <cfRule type="expression" dxfId="36" priority="554" stopIfTrue="1">
      <formula>$A$7&gt;5</formula>
    </cfRule>
  </conditionalFormatting>
  <conditionalFormatting sqref="I12:I23 I27:I43">
    <cfRule type="expression" dxfId="35" priority="556" stopIfTrue="1">
      <formula>$A$7&gt;6</formula>
    </cfRule>
  </conditionalFormatting>
  <conditionalFormatting sqref="J12:J23 J27:J43">
    <cfRule type="expression" dxfId="34" priority="558" stopIfTrue="1">
      <formula>$A$7&gt;7</formula>
    </cfRule>
  </conditionalFormatting>
  <conditionalFormatting sqref="K12:K23 K27:K43">
    <cfRule type="expression" dxfId="33" priority="560" stopIfTrue="1">
      <formula>$A$7&gt;8</formula>
    </cfRule>
  </conditionalFormatting>
  <conditionalFormatting sqref="L12:L23 L27:L43">
    <cfRule type="expression" dxfId="32" priority="562" stopIfTrue="1">
      <formula>$A$7&gt;9</formula>
    </cfRule>
  </conditionalFormatting>
  <conditionalFormatting sqref="M12:M23 M27:M43">
    <cfRule type="expression" dxfId="31" priority="564" stopIfTrue="1">
      <formula>$A$7&gt;10</formula>
    </cfRule>
  </conditionalFormatting>
  <conditionalFormatting sqref="N12:N23 N27:N43">
    <cfRule type="expression" dxfId="30" priority="566" stopIfTrue="1">
      <formula>$A$7&gt;11</formula>
    </cfRule>
  </conditionalFormatting>
  <conditionalFormatting sqref="O12:O23 O27:O43">
    <cfRule type="expression" dxfId="29" priority="568" stopIfTrue="1">
      <formula>$A$7&gt;12</formula>
    </cfRule>
  </conditionalFormatting>
  <pageMargins left="0.23622047244094491" right="0" top="0.74803149606299213" bottom="0.74803149606299213" header="0.31496062992125984" footer="0.31496062992125984"/>
  <pageSetup paperSize="9" scale="51" fitToHeight="0" orientation="landscape" r:id="rId1"/>
  <headerFooter alignWithMargins="0">
    <oddFooter xml:space="preserve">&amp;L&amp;F&amp;CDiese Tabelle wurde mit Sorgfalt erstellt, dient aber lediglich als Arbeitshilfe.
Für Schäden, welche direkt oder indirekt aus deren Verwendung entstehen, wird keine Haftung übernommen!&amp;R&amp;D, 4/9   &amp;G   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>
    <pageSetUpPr fitToPage="1"/>
  </sheetPr>
  <dimension ref="A3:T46"/>
  <sheetViews>
    <sheetView zoomScale="115" zoomScaleNormal="115" workbookViewId="0">
      <pane xSplit="4" ySplit="10" topLeftCell="E18" activePane="bottomRight" state="frozen"/>
      <selection pane="topRight" activeCell="E1" sqref="E1"/>
      <selection pane="bottomLeft" activeCell="A11" sqref="A11"/>
      <selection pane="bottomRight" activeCell="M25" sqref="M25"/>
    </sheetView>
  </sheetViews>
  <sheetFormatPr baseColWidth="10" defaultColWidth="11.42578125" defaultRowHeight="12.75" x14ac:dyDescent="0.2"/>
  <cols>
    <col min="1" max="1" width="15.7109375" style="45" customWidth="1"/>
    <col min="2" max="2" width="8.42578125" style="45" customWidth="1"/>
    <col min="3" max="3" width="10.28515625" style="46" customWidth="1"/>
    <col min="4" max="4" width="10.140625" style="46" customWidth="1"/>
    <col min="5" max="16" width="10.85546875" style="46" customWidth="1"/>
    <col min="17" max="17" width="12.85546875" style="46" customWidth="1"/>
    <col min="18" max="20" width="12.85546875" style="45" customWidth="1"/>
    <col min="21" max="16384" width="11.42578125" style="45"/>
  </cols>
  <sheetData>
    <row r="3" spans="1:20" ht="15" customHeight="1" x14ac:dyDescent="0.2"/>
    <row r="5" spans="1:20" x14ac:dyDescent="0.2">
      <c r="A5" s="47">
        <f>Basisdaten!C10</f>
        <v>8</v>
      </c>
    </row>
    <row r="6" spans="1:20" ht="20.25" x14ac:dyDescent="0.2">
      <c r="A6" s="48" t="s">
        <v>19</v>
      </c>
      <c r="B6" s="49"/>
      <c r="C6" s="126"/>
      <c r="D6" s="126"/>
    </row>
    <row r="7" spans="1:20" ht="20.25" customHeight="1" x14ac:dyDescent="0.2">
      <c r="A7" s="48" t="str">
        <f>Basisdaten!C8</f>
        <v>ANAMNIC GmbH</v>
      </c>
    </row>
    <row r="8" spans="1:20" ht="15" customHeight="1" x14ac:dyDescent="0.2"/>
    <row r="9" spans="1:20" ht="15" customHeight="1" thickBot="1" x14ac:dyDescent="0.25"/>
    <row r="10" spans="1:20" s="127" customFormat="1" ht="15.75" thickBot="1" x14ac:dyDescent="0.25">
      <c r="A10" s="358"/>
      <c r="B10" s="359"/>
      <c r="C10" s="360"/>
      <c r="D10" s="275" t="s">
        <v>96</v>
      </c>
      <c r="E10" s="57" t="str">
        <f>'Plan-G&amp;V'!E7</f>
        <v>Jän</v>
      </c>
      <c r="F10" s="58" t="str">
        <f>'Plan-G&amp;V'!F7</f>
        <v>Feb</v>
      </c>
      <c r="G10" s="58" t="str">
        <f>'Plan-G&amp;V'!G7</f>
        <v>Mär</v>
      </c>
      <c r="H10" s="58" t="str">
        <f>'Plan-G&amp;V'!H7</f>
        <v>Apr</v>
      </c>
      <c r="I10" s="58" t="str">
        <f>'Plan-G&amp;V'!I7</f>
        <v>Mai</v>
      </c>
      <c r="J10" s="58" t="str">
        <f>'Plan-G&amp;V'!J7</f>
        <v>Jun</v>
      </c>
      <c r="K10" s="58" t="str">
        <f>'Plan-G&amp;V'!K7</f>
        <v>Jul</v>
      </c>
      <c r="L10" s="58" t="str">
        <f>'Plan-G&amp;V'!L7</f>
        <v>Aug</v>
      </c>
      <c r="M10" s="58" t="str">
        <f>'Plan-G&amp;V'!M7</f>
        <v>Sep</v>
      </c>
      <c r="N10" s="58" t="str">
        <f>'Plan-G&amp;V'!N7</f>
        <v>Okt</v>
      </c>
      <c r="O10" s="58" t="str">
        <f>'Plan-G&amp;V'!O7</f>
        <v>Nov</v>
      </c>
      <c r="P10" s="59" t="str">
        <f>'Plan-G&amp;V'!P7</f>
        <v>Dez</v>
      </c>
      <c r="Q10" s="60">
        <f>'Plan-G&amp;V'!Q7</f>
        <v>2026</v>
      </c>
      <c r="R10" s="60">
        <f>'Plan-G&amp;V'!R7</f>
        <v>2027</v>
      </c>
      <c r="S10" s="60">
        <f>'Plan-G&amp;V'!S7</f>
        <v>2028</v>
      </c>
      <c r="T10" s="60">
        <f>'Plan-G&amp;V'!T7</f>
        <v>2029</v>
      </c>
    </row>
    <row r="11" spans="1:20" ht="15" customHeight="1" x14ac:dyDescent="0.2">
      <c r="A11" s="361" t="str">
        <f>'Plan-G&amp;V'!A40</f>
        <v>Ergebnis vor Steuer</v>
      </c>
      <c r="B11" s="362"/>
      <c r="C11" s="363"/>
      <c r="D11" s="276">
        <f ca="1">(IF(Q11=0,0,IF(Q11&gt;0,1,-1)*(R11/(Q11/(COUNTIF(E11:P11,"&gt;0")+COUNTIF(E11:P11,"&lt;0"))*12)-1))+IF(R11=0,0,IF(R11&gt;0,1,-1)*(S11/R11-1))+IF(S11=0,0,IF(S11&gt;0,1,-1)*(T11/S11-1)))/3</f>
        <v>1.7591647175935794</v>
      </c>
      <c r="E11" s="128">
        <f ca="1">'Plan-G&amp;V'!E13-'Plan-G&amp;V'!E39</f>
        <v>0</v>
      </c>
      <c r="F11" s="129">
        <f ca="1">'Plan-G&amp;V'!F13-'Plan-G&amp;V'!F39</f>
        <v>0</v>
      </c>
      <c r="G11" s="129">
        <f ca="1">'Plan-G&amp;V'!G13-'Plan-G&amp;V'!G39</f>
        <v>0</v>
      </c>
      <c r="H11" s="129">
        <f ca="1">'Plan-G&amp;V'!H13-'Plan-G&amp;V'!H39</f>
        <v>0</v>
      </c>
      <c r="I11" s="129">
        <f ca="1">'Plan-G&amp;V'!I13-'Plan-G&amp;V'!I39</f>
        <v>0</v>
      </c>
      <c r="J11" s="129">
        <f ca="1">'Plan-G&amp;V'!J13-'Plan-G&amp;V'!J39</f>
        <v>0</v>
      </c>
      <c r="K11" s="129">
        <f ca="1">'Plan-G&amp;V'!K13-'Plan-G&amp;V'!K39</f>
        <v>0</v>
      </c>
      <c r="L11" s="129">
        <f ca="1">'Plan-G&amp;V'!L13-'Plan-G&amp;V'!L39</f>
        <v>-2320</v>
      </c>
      <c r="M11" s="129">
        <f ca="1">'Plan-G&amp;V'!M13-'Plan-G&amp;V'!M39</f>
        <v>-1970</v>
      </c>
      <c r="N11" s="129">
        <f ca="1">'Plan-G&amp;V'!N13-'Plan-G&amp;V'!N39</f>
        <v>-2020</v>
      </c>
      <c r="O11" s="129">
        <f ca="1">'Plan-G&amp;V'!O13-'Plan-G&amp;V'!O39</f>
        <v>-2070</v>
      </c>
      <c r="P11" s="130">
        <f ca="1">'Plan-G&amp;V'!P13-'Plan-G&amp;V'!P39</f>
        <v>-2520</v>
      </c>
      <c r="Q11" s="131">
        <f ca="1">SUM(E11:P11)</f>
        <v>-10900</v>
      </c>
      <c r="R11" s="131">
        <f ca="1">+'Plan-G&amp;V'!R40</f>
        <v>17060</v>
      </c>
      <c r="S11" s="131">
        <f ca="1">+'Plan-G&amp;V'!S40</f>
        <v>73760</v>
      </c>
      <c r="T11" s="131">
        <f ca="1">+'Plan-G&amp;V'!T40</f>
        <v>96020</v>
      </c>
    </row>
    <row r="12" spans="1:20" ht="15" customHeight="1" x14ac:dyDescent="0.2">
      <c r="A12" s="355" t="str">
        <f>'Plan-G&amp;V'!A42</f>
        <v>Körperschaftst.-Vorschreibung/-Nachzahlung</v>
      </c>
      <c r="B12" s="356"/>
      <c r="C12" s="357"/>
      <c r="D12" s="265">
        <f ca="1">-(IF(Q12=0,0,IF(Q12&gt;0,1,-1)*(R12/(Q12/(13-Basisdaten!C$10)*12)-1))+IF(R12=0,0,IF(R12&gt;0,1,-1)*(S12/R12-1))+IF(S12=0,0,IF(S12&gt;0,1,-1)*(T12/S12-1)))/3</f>
        <v>4.9190027839196686</v>
      </c>
      <c r="E12" s="132"/>
      <c r="F12" s="133">
        <f>IF(Basisdaten!E$7&lt;2,-'Plan-G&amp;V'!F42,0)</f>
        <v>0</v>
      </c>
      <c r="G12" s="133"/>
      <c r="H12" s="133"/>
      <c r="I12" s="133">
        <f>IF(Basisdaten!E$7&lt;2,-'Plan-G&amp;V'!I42,IF(Basisdaten!E$7&lt;5,-('Plan-G&amp;V'!Q42-'Plan-G&amp;V'!L42-'Plan-G&amp;V'!O42),0))</f>
        <v>0</v>
      </c>
      <c r="J12" s="133"/>
      <c r="K12" s="133"/>
      <c r="L12" s="133">
        <f>IF(Basisdaten!E$7&lt;5,-'Plan-G&amp;V'!L42,IF(Basisdaten!E$7&lt;8,-('Plan-G&amp;V'!Q42-'Plan-G&amp;V'!O42),0))</f>
        <v>0</v>
      </c>
      <c r="M12" s="133"/>
      <c r="N12" s="133"/>
      <c r="O12" s="133">
        <f ca="1">IF(Basisdaten!E$7&lt;8,-'Plan-G&amp;V'!O42,IF(Basisdaten!E$7&lt;11,-'Plan-G&amp;V'!Q42,0))</f>
        <v>-208.33333333333331</v>
      </c>
      <c r="P12" s="134"/>
      <c r="Q12" s="135">
        <f ca="1">SUM(E12:P12)</f>
        <v>-208.33333333333331</v>
      </c>
      <c r="R12" s="135">
        <f ca="1">-'Plan-G&amp;V'!R42-IF(Basisdaten!E$7&gt;10,'Plan-G&amp;V'!Q42,0)</f>
        <v>-1208.4666666666667</v>
      </c>
      <c r="S12" s="135">
        <f ca="1">-'Plan-G&amp;V'!S42</f>
        <v>-16964.8</v>
      </c>
      <c r="T12" s="135">
        <f ca="1">-'Plan-G&amp;V'!T42</f>
        <v>-22084.600000000002</v>
      </c>
    </row>
    <row r="13" spans="1:20" ht="15" customHeight="1" x14ac:dyDescent="0.2">
      <c r="A13" s="364" t="str">
        <f>'Plan-G&amp;V'!A43</f>
        <v>Periodenergebnis</v>
      </c>
      <c r="B13" s="365"/>
      <c r="C13" s="366"/>
      <c r="D13" s="277">
        <f ca="1">(IF(Q13=0,0,IF(Q13&gt;0,1,-1)*(R13/(Q13/(13-Basisdaten!C$10)*12)-1))+IF(R13=0,0,IF(R13&gt;0,1,-1)*(S13/R13-1))+IF(S13=0,0,IF(S13&gt;0,1,-1)*(T13/S13-1)))/3</f>
        <v>1.4931058310946657</v>
      </c>
      <c r="E13" s="136">
        <f t="shared" ref="E13:T13" ca="1" si="0">E11+E12</f>
        <v>0</v>
      </c>
      <c r="F13" s="137">
        <f t="shared" ca="1" si="0"/>
        <v>0</v>
      </c>
      <c r="G13" s="137">
        <f t="shared" ca="1" si="0"/>
        <v>0</v>
      </c>
      <c r="H13" s="137">
        <f t="shared" ca="1" si="0"/>
        <v>0</v>
      </c>
      <c r="I13" s="137">
        <f t="shared" ca="1" si="0"/>
        <v>0</v>
      </c>
      <c r="J13" s="137">
        <f t="shared" ca="1" si="0"/>
        <v>0</v>
      </c>
      <c r="K13" s="137">
        <f t="shared" ca="1" si="0"/>
        <v>0</v>
      </c>
      <c r="L13" s="137">
        <f t="shared" ca="1" si="0"/>
        <v>-2320</v>
      </c>
      <c r="M13" s="137">
        <f t="shared" ca="1" si="0"/>
        <v>-1970</v>
      </c>
      <c r="N13" s="137">
        <f t="shared" ca="1" si="0"/>
        <v>-2020</v>
      </c>
      <c r="O13" s="137">
        <f t="shared" ca="1" si="0"/>
        <v>-2278.3333333333335</v>
      </c>
      <c r="P13" s="138">
        <f t="shared" ca="1" si="0"/>
        <v>-2520</v>
      </c>
      <c r="Q13" s="139">
        <f t="shared" ca="1" si="0"/>
        <v>-11108.333333333334</v>
      </c>
      <c r="R13" s="139">
        <f t="shared" ca="1" si="0"/>
        <v>15851.533333333333</v>
      </c>
      <c r="S13" s="139">
        <f t="shared" ca="1" si="0"/>
        <v>56795.199999999997</v>
      </c>
      <c r="T13" s="139">
        <f t="shared" ca="1" si="0"/>
        <v>73935.399999999994</v>
      </c>
    </row>
    <row r="14" spans="1:20" ht="15" customHeight="1" x14ac:dyDescent="0.2">
      <c r="A14" s="355" t="s">
        <v>78</v>
      </c>
      <c r="B14" s="356"/>
      <c r="C14" s="357"/>
      <c r="D14" s="265">
        <f>-(IF(Q14=0,0,IF(Q14&gt;0,1,-1)*(R14/(Q14/(13-Basisdaten!C$10)*12)-1))+IF(R14=0,0,IF(R14&gt;0,1,-1)*(S14/R14-1))+IF(S14=0,0,IF(S14&gt;0,1,-1)*(T14/S14-1)))/3</f>
        <v>0</v>
      </c>
      <c r="E14" s="136"/>
      <c r="F14" s="137"/>
      <c r="G14" s="137"/>
      <c r="H14" s="137"/>
      <c r="I14" s="137"/>
      <c r="J14" s="137"/>
      <c r="K14" s="137"/>
      <c r="L14" s="137"/>
      <c r="M14" s="137"/>
      <c r="N14" s="137"/>
      <c r="O14" s="137"/>
      <c r="P14" s="221"/>
      <c r="Q14" s="139"/>
      <c r="R14" s="139">
        <f>'Plan-G&amp;V'!R46</f>
        <v>0</v>
      </c>
      <c r="S14" s="139">
        <f>'Plan-G&amp;V'!S46</f>
        <v>0</v>
      </c>
      <c r="T14" s="139">
        <f>'Plan-G&amp;V'!T46</f>
        <v>0</v>
      </c>
    </row>
    <row r="15" spans="1:20" ht="15" customHeight="1" x14ac:dyDescent="0.2">
      <c r="A15" s="364" t="s">
        <v>93</v>
      </c>
      <c r="B15" s="365"/>
      <c r="C15" s="366"/>
      <c r="D15" s="277">
        <f ca="1">(IF(Q15=0,0,IF(Q15&gt;0,1,-1)*(R15/(Q15/(13-Basisdaten!C$10)*12)-1))+IF(R15=0,0,IF(R15&gt;0,1,-1)*(S15/R15-1))+IF(S15=0,0,IF(S15&gt;0,1,-1)*(T15/S15-1)))/3</f>
        <v>1.4931058310946657</v>
      </c>
      <c r="E15" s="136">
        <f ca="1">E13</f>
        <v>0</v>
      </c>
      <c r="F15" s="137">
        <f t="shared" ref="F15:P15" ca="1" si="1">F13</f>
        <v>0</v>
      </c>
      <c r="G15" s="137">
        <f t="shared" ca="1" si="1"/>
        <v>0</v>
      </c>
      <c r="H15" s="137">
        <f t="shared" ca="1" si="1"/>
        <v>0</v>
      </c>
      <c r="I15" s="137">
        <f t="shared" ca="1" si="1"/>
        <v>0</v>
      </c>
      <c r="J15" s="137">
        <f t="shared" ca="1" si="1"/>
        <v>0</v>
      </c>
      <c r="K15" s="137">
        <f t="shared" ca="1" si="1"/>
        <v>0</v>
      </c>
      <c r="L15" s="137">
        <f t="shared" ca="1" si="1"/>
        <v>-2320</v>
      </c>
      <c r="M15" s="137">
        <f t="shared" ca="1" si="1"/>
        <v>-1970</v>
      </c>
      <c r="N15" s="137">
        <f t="shared" ca="1" si="1"/>
        <v>-2020</v>
      </c>
      <c r="O15" s="137">
        <f t="shared" ca="1" si="1"/>
        <v>-2278.3333333333335</v>
      </c>
      <c r="P15" s="138">
        <f t="shared" ca="1" si="1"/>
        <v>-2520</v>
      </c>
      <c r="Q15" s="139">
        <f ca="1">Q13</f>
        <v>-11108.333333333334</v>
      </c>
      <c r="R15" s="139">
        <f ca="1">R13-R14</f>
        <v>15851.533333333333</v>
      </c>
      <c r="S15" s="139">
        <f ca="1">S13-S14</f>
        <v>56795.199999999997</v>
      </c>
      <c r="T15" s="139">
        <f ca="1">T13-T14</f>
        <v>73935.399999999994</v>
      </c>
    </row>
    <row r="16" spans="1:20" ht="15" customHeight="1" x14ac:dyDescent="0.2">
      <c r="A16" s="355" t="s">
        <v>84</v>
      </c>
      <c r="B16" s="356"/>
      <c r="C16" s="357"/>
      <c r="D16" s="278">
        <f>(IF(Q16=0,0,IF(Q16&gt;0,1,-1)*(R16/(Q16/(13-Basisdaten!C$10)*12)-1))+IF(R16=0,0,IF(R16&gt;0,1,-1)*(S16/R16-1))+IF(S16=0,0,IF(S16&gt;0,1,-1)*(T16/S16-1)))/3</f>
        <v>0</v>
      </c>
      <c r="E16" s="222">
        <f>-'Plan-G&amp;V'!E11</f>
        <v>0</v>
      </c>
      <c r="F16" s="223">
        <f>-'Plan-G&amp;V'!F11</f>
        <v>0</v>
      </c>
      <c r="G16" s="223">
        <f>-'Plan-G&amp;V'!G11</f>
        <v>0</v>
      </c>
      <c r="H16" s="223">
        <f>-'Plan-G&amp;V'!H11</f>
        <v>0</v>
      </c>
      <c r="I16" s="223">
        <f>-'Plan-G&amp;V'!I11</f>
        <v>0</v>
      </c>
      <c r="J16" s="223">
        <f>-'Plan-G&amp;V'!J11</f>
        <v>0</v>
      </c>
      <c r="K16" s="223">
        <f>-'Plan-G&amp;V'!K11</f>
        <v>0</v>
      </c>
      <c r="L16" s="223">
        <f>-'Plan-G&amp;V'!L11</f>
        <v>0</v>
      </c>
      <c r="M16" s="223">
        <f>-'Plan-G&amp;V'!M11</f>
        <v>0</v>
      </c>
      <c r="N16" s="223">
        <f>-'Plan-G&amp;V'!N11</f>
        <v>0</v>
      </c>
      <c r="O16" s="223">
        <f>-'Plan-G&amp;V'!O11</f>
        <v>0</v>
      </c>
      <c r="P16" s="224">
        <f>-'Plan-G&amp;V'!P11</f>
        <v>0</v>
      </c>
      <c r="Q16" s="135">
        <f>SUM(E16:P16)</f>
        <v>0</v>
      </c>
      <c r="R16" s="135">
        <f>-'Plan-G&amp;V'!R11</f>
        <v>0</v>
      </c>
      <c r="S16" s="135">
        <f>-'Plan-G&amp;V'!S11</f>
        <v>0</v>
      </c>
      <c r="T16" s="135">
        <f>-'Plan-G&amp;V'!T11</f>
        <v>0</v>
      </c>
    </row>
    <row r="17" spans="1:20" ht="15" customHeight="1" x14ac:dyDescent="0.2">
      <c r="A17" s="355" t="str">
        <f>"+/- Rückstellungen"</f>
        <v>+/- Rückstellungen</v>
      </c>
      <c r="B17" s="356"/>
      <c r="C17" s="357"/>
      <c r="D17" s="243">
        <f>0%</f>
        <v>0</v>
      </c>
      <c r="E17" s="228"/>
      <c r="F17" s="229">
        <f>E17</f>
        <v>0</v>
      </c>
      <c r="G17" s="229">
        <f t="shared" ref="G17:P17" si="2">F17</f>
        <v>0</v>
      </c>
      <c r="H17" s="229">
        <f t="shared" si="2"/>
        <v>0</v>
      </c>
      <c r="I17" s="229">
        <f t="shared" si="2"/>
        <v>0</v>
      </c>
      <c r="J17" s="229">
        <f t="shared" si="2"/>
        <v>0</v>
      </c>
      <c r="K17" s="229">
        <f t="shared" si="2"/>
        <v>0</v>
      </c>
      <c r="L17" s="229">
        <f t="shared" si="2"/>
        <v>0</v>
      </c>
      <c r="M17" s="229">
        <f t="shared" si="2"/>
        <v>0</v>
      </c>
      <c r="N17" s="229">
        <f t="shared" si="2"/>
        <v>0</v>
      </c>
      <c r="O17" s="229">
        <f t="shared" si="2"/>
        <v>0</v>
      </c>
      <c r="P17" s="230">
        <f t="shared" si="2"/>
        <v>0</v>
      </c>
      <c r="Q17" s="135">
        <f>SUM(E17:P17)</f>
        <v>0</v>
      </c>
      <c r="R17" s="22">
        <f>SUM(INDEX(E17:P17,Basisdaten!C$10):P17)/(13-Basisdaten!C$10)*12*(1+D17)</f>
        <v>0</v>
      </c>
      <c r="S17" s="33">
        <f>R17*(1+$D17)</f>
        <v>0</v>
      </c>
      <c r="T17" s="33">
        <f>S17*(1+$D17)</f>
        <v>0</v>
      </c>
    </row>
    <row r="18" spans="1:20" ht="15" customHeight="1" x14ac:dyDescent="0.2">
      <c r="A18" s="367" t="s">
        <v>14</v>
      </c>
      <c r="B18" s="368"/>
      <c r="C18" s="357"/>
      <c r="D18" s="278">
        <f>(IF(Q18=0,0,IF(Q18&gt;0,1,-1)*(R18/(Q18/(13-Basisdaten!C$10)*12)-1))+IF(R18=0,0,IF(R18&gt;0,1,-1)*(S18/R18-1))+IF(S18=0,0,IF(S18&gt;0,1,-1)*(T18/S18-1)))/3</f>
        <v>-0.22222222222222221</v>
      </c>
      <c r="E18" s="132">
        <f>Investitionsplan!D43</f>
        <v>0</v>
      </c>
      <c r="F18" s="133">
        <f>Investitionsplan!E43</f>
        <v>0</v>
      </c>
      <c r="G18" s="133">
        <f>Investitionsplan!F43</f>
        <v>0</v>
      </c>
      <c r="H18" s="133">
        <f>Investitionsplan!G43</f>
        <v>0</v>
      </c>
      <c r="I18" s="133">
        <f>Investitionsplan!H43</f>
        <v>0</v>
      </c>
      <c r="J18" s="133">
        <f>Investitionsplan!I43</f>
        <v>0</v>
      </c>
      <c r="K18" s="133">
        <f>Investitionsplan!J43</f>
        <v>0</v>
      </c>
      <c r="L18" s="133">
        <f>Investitionsplan!K43</f>
        <v>50</v>
      </c>
      <c r="M18" s="133">
        <f>Investitionsplan!L43</f>
        <v>50</v>
      </c>
      <c r="N18" s="133">
        <f>Investitionsplan!M43</f>
        <v>50</v>
      </c>
      <c r="O18" s="133">
        <f>Investitionsplan!N43</f>
        <v>50</v>
      </c>
      <c r="P18" s="134">
        <f>Investitionsplan!O43</f>
        <v>50</v>
      </c>
      <c r="Q18" s="135">
        <f>SUM(E18:P18)</f>
        <v>250</v>
      </c>
      <c r="R18" s="135">
        <f>'Plan-G&amp;V'!R37</f>
        <v>500</v>
      </c>
      <c r="S18" s="135">
        <f>'Plan-G&amp;V'!S37</f>
        <v>500</v>
      </c>
      <c r="T18" s="135">
        <f>'Plan-G&amp;V'!T37</f>
        <v>250</v>
      </c>
    </row>
    <row r="19" spans="1:20" ht="15" customHeight="1" x14ac:dyDescent="0.2">
      <c r="A19" s="367" t="s">
        <v>34</v>
      </c>
      <c r="B19" s="368"/>
      <c r="C19" s="357"/>
      <c r="D19" s="278">
        <f>(IF(Q19=0,0,IF(Q19&gt;0,1,-1)*(R19/(Q19/(13-Basisdaten!C$10)*12)-1))+IF(R19=0,0,IF(R19&gt;0,1,-1)*(S19/R19-1))+IF(S19=0,0,IF(S19&gt;0,1,-1)*(T19/S19-1)))/3</f>
        <v>0</v>
      </c>
      <c r="E19" s="19">
        <f>'Plan-G&amp;V'!E9</f>
        <v>0</v>
      </c>
      <c r="F19" s="20">
        <f>'Plan-G&amp;V'!F9</f>
        <v>0</v>
      </c>
      <c r="G19" s="20">
        <f>'Plan-G&amp;V'!G9-IF(Basisdaten!$E$7&gt;1,0,E19)</f>
        <v>0</v>
      </c>
      <c r="H19" s="20">
        <f>'Plan-G&amp;V'!H9-IF(Basisdaten!$E$7&gt;2,0,'Plan-G&amp;V'!F9)-IF(Basisdaten!$E$7=2,E19,0)</f>
        <v>0</v>
      </c>
      <c r="I19" s="20">
        <f>'Plan-G&amp;V'!I9-IF(Basisdaten!$E$7&gt;3,0,'Plan-G&amp;V'!G9)-IF(Basisdaten!$E$7=3,SUM($E19:F19),0)</f>
        <v>0</v>
      </c>
      <c r="J19" s="20">
        <f>'Plan-G&amp;V'!J9-IF(Basisdaten!$E$7&gt;4,0,'Plan-G&amp;V'!H9)-IF(Basisdaten!$E$7=4,SUM($E19:G19),0)</f>
        <v>0</v>
      </c>
      <c r="K19" s="20">
        <f>'Plan-G&amp;V'!K9-IF(Basisdaten!$E$7&gt;5,0,'Plan-G&amp;V'!I9)-IF(Basisdaten!$E$7=5,SUM($E19:H19),0)</f>
        <v>0</v>
      </c>
      <c r="L19" s="20">
        <f>'Plan-G&amp;V'!L9-IF(Basisdaten!$E$7&gt;6,0,'Plan-G&amp;V'!J9)-IF(Basisdaten!$E$7=6,SUM($E19:I19),0)</f>
        <v>0</v>
      </c>
      <c r="M19" s="20">
        <f>'Plan-G&amp;V'!M9-IF(Basisdaten!$E$7&gt;7,0,'Plan-G&amp;V'!K9)-IF(Basisdaten!$E$7=7,SUM($E19:J19),0)</f>
        <v>0</v>
      </c>
      <c r="N19" s="20">
        <f>'Plan-G&amp;V'!N9-IF(Basisdaten!$E$7&gt;8,0,'Plan-G&amp;V'!L9)-IF(Basisdaten!$E$7=8,SUM($E19:K19),0)</f>
        <v>0</v>
      </c>
      <c r="O19" s="20">
        <f>'Plan-G&amp;V'!O9-IF(Basisdaten!$E$7&gt;9,0,'Plan-G&amp;V'!M9)-IF(Basisdaten!$E$7=9,SUM($E19:L19),0)</f>
        <v>0</v>
      </c>
      <c r="P19" s="21">
        <f>'Plan-G&amp;V'!P9-IF(Basisdaten!$E$7&gt;10,0,'Plan-G&amp;V'!N9)-IF(Basisdaten!$E$7=10,SUM($E19:M19),0)</f>
        <v>0</v>
      </c>
      <c r="Q19" s="135">
        <f>SUM(E19:P19)</f>
        <v>0</v>
      </c>
      <c r="R19" s="135">
        <f>('Plan-G&amp;V'!R9-'Plan-G&amp;V'!Q9)/12*2+IF(Basisdaten!$E$7&gt;10,-SUM(E19:N19),0)</f>
        <v>2360</v>
      </c>
      <c r="S19" s="135">
        <f>('Plan-G&amp;V'!S9-'Plan-G&amp;V'!R9)/12*2</f>
        <v>2360</v>
      </c>
      <c r="T19" s="135">
        <f>('Plan-G&amp;V'!T9-'Plan-G&amp;V'!S9)/12*2</f>
        <v>2360</v>
      </c>
    </row>
    <row r="20" spans="1:20" ht="15" customHeight="1" x14ac:dyDescent="0.2">
      <c r="A20" s="367" t="s">
        <v>33</v>
      </c>
      <c r="B20" s="368"/>
      <c r="C20" s="357"/>
      <c r="D20" s="265">
        <f ca="1">-(IF(Q20=0,0,IF(Q20&gt;0,1,-1)*(R20/(Q20/(13-Basisdaten!C$10)*12)-1))+IF(R20=0,0,IF(R20&gt;0,1,-1)*(S20/R20-1))+IF(S20=0,0,IF(S20&gt;0,1,-1)*(T20/S20-1)))/3</f>
        <v>-0.32616800432357251</v>
      </c>
      <c r="E20" s="19">
        <f ca="1">IF(OR(Basisdaten!C12="NEIN",'Plan-G&amp;V'!$Q$9&gt;0),-('Plan-G&amp;V'!E12+'Plan-G&amp;V'!E15)*Absatzplan!Q91-SUM('Plan-G&amp;V'!E25:E36)*20%,0)</f>
        <v>0</v>
      </c>
      <c r="F20" s="20">
        <f ca="1">IF(OR(Basisdaten!C12="NEIN",'Plan-G&amp;V'!$Q$9&gt;0),-('Plan-G&amp;V'!F12+'Plan-G&amp;V'!F15)*Absatzplan!Q91-SUM('Plan-G&amp;V'!F25:F36)*20%,0)</f>
        <v>0</v>
      </c>
      <c r="G20" s="20">
        <f ca="1">IF(OR(Basisdaten!C12="NEIN",'Plan-G&amp;V'!$Q$9&gt;0),-('Plan-G&amp;V'!G12+'Plan-G&amp;V'!G15)*Absatzplan!Q91-SUM('Plan-G&amp;V'!G25:G36)*20%+IF(Basisdaten!$E$7&gt;1,0,-E20),0)</f>
        <v>0</v>
      </c>
      <c r="H20" s="20">
        <f ca="1">IF(OR(Basisdaten!C12="NEIN",'Plan-G&amp;V'!$Q$9&gt;0),-('Plan-G&amp;V'!H12+'Plan-G&amp;V'!H15)*Absatzplan!Q91-SUM('Plan-G&amp;V'!H25:H36)*20%+IF(Basisdaten!$E$7&gt;2,0,('Plan-G&amp;V'!F12+'Plan-G&amp;V'!F15)*Absatzplan!Q91+SUM('Plan-G&amp;V'!F25:F36)*20%),0)+IF(Basisdaten!$E$7=2,-E20,0)</f>
        <v>0</v>
      </c>
      <c r="I20" s="20">
        <f ca="1">IF(OR(Basisdaten!C12="NEIN",'Plan-G&amp;V'!$Q$9&gt;0),-('Plan-G&amp;V'!I12+'Plan-G&amp;V'!I15)*Absatzplan!Q91-SUM('Plan-G&amp;V'!I25:I36)*20%+IF(Basisdaten!$E$7&gt;3,0,('Plan-G&amp;V'!G12+'Plan-G&amp;V'!G15)*Absatzplan!Q91+SUM('Plan-G&amp;V'!G25:G36)*20%),0)+IF(Basisdaten!$E$7=3,-SUM($E20:F20),0)</f>
        <v>0</v>
      </c>
      <c r="J20" s="20">
        <f ca="1">IF(OR(Basisdaten!C12="NEIN",'Plan-G&amp;V'!$Q$9&gt;0),-('Plan-G&amp;V'!J12+'Plan-G&amp;V'!J15)*Absatzplan!Q91-SUM('Plan-G&amp;V'!J25:J36)*20%+IF(Basisdaten!$E$7&gt;4,0,('Plan-G&amp;V'!H12+'Plan-G&amp;V'!H15)*Absatzplan!Q91+SUM('Plan-G&amp;V'!H25:H36)*20%),0)+IF(Basisdaten!$E$7=4,-SUM($E20:G20),0)</f>
        <v>0</v>
      </c>
      <c r="K20" s="20">
        <f ca="1">IF(OR(Basisdaten!C12="NEIN",'Plan-G&amp;V'!$Q$9&gt;0),-('Plan-G&amp;V'!K12+'Plan-G&amp;V'!K15)*Absatzplan!Q91-SUM('Plan-G&amp;V'!K25:K36)*20%+IF(Basisdaten!$E$7&gt;5,0,('Plan-G&amp;V'!I12+'Plan-G&amp;V'!I15)*Absatzplan!Q91+SUM('Plan-G&amp;V'!I25:I36)*20%),0)+IF(Basisdaten!$E$7=5,-SUM($E20:H20),0)</f>
        <v>0</v>
      </c>
      <c r="L20" s="20">
        <f ca="1">IF(OR(Basisdaten!C12="NEIN",'Plan-G&amp;V'!$Q$9&gt;0),-('Plan-G&amp;V'!L12+'Plan-G&amp;V'!L15)*Absatzplan!Q91-SUM('Plan-G&amp;V'!L25:L36)*20%+IF(Basisdaten!$E$7&gt;6,0,('Plan-G&amp;V'!J12+'Plan-G&amp;V'!J15)*Absatzplan!Q91+SUM('Plan-G&amp;V'!J25:J36)*20%),0)+IF(Basisdaten!$E$7=6,-SUM($E20:I20),0)</f>
        <v>-144</v>
      </c>
      <c r="M20" s="20">
        <f ca="1">IF(OR(Basisdaten!C12="NEIN",'Plan-G&amp;V'!$Q$9&gt;0),-('Plan-G&amp;V'!M12+'Plan-G&amp;V'!M15)*Absatzplan!Q91-SUM('Plan-G&amp;V'!M25:M36)*20%+IF(Basisdaten!$E$7&gt;7,0,('Plan-G&amp;V'!K12+'Plan-G&amp;V'!K15)*Absatzplan!Q91+SUM('Plan-G&amp;V'!K25:K36)*20%),0)+IF(Basisdaten!$E$7=7,-SUM($E20:J20),0)</f>
        <v>-74</v>
      </c>
      <c r="N20" s="20">
        <f ca="1">IF(OR(Basisdaten!C12="NEIN",'Plan-G&amp;V'!$Q$9&gt;0),-('Plan-G&amp;V'!N12+'Plan-G&amp;V'!N15)*Absatzplan!Q91-SUM('Plan-G&amp;V'!N25:N36)*20%+IF(Basisdaten!$E$7&gt;8,0,('Plan-G&amp;V'!L12+'Plan-G&amp;V'!L15)*Absatzplan!Q91+SUM('Plan-G&amp;V'!L25:L36)*20%),0)+IF(Basisdaten!$E$7=8,-SUM($E20:K20),0)</f>
        <v>60</v>
      </c>
      <c r="O20" s="20">
        <f ca="1">IF(OR(Basisdaten!C12="NEIN",'Plan-G&amp;V'!$Q$9&gt;0),-('Plan-G&amp;V'!O12+'Plan-G&amp;V'!O15)*Absatzplan!Q91-SUM('Plan-G&amp;V'!O25:O36)*20%+IF(Basisdaten!$E$7&gt;9,0,('Plan-G&amp;V'!M12+'Plan-G&amp;V'!M15)*Absatzplan!Q91+SUM('Plan-G&amp;V'!M25:M36)*20%),0)+IF(Basisdaten!$E$7=9,-SUM($E20:L20),0)</f>
        <v>-20</v>
      </c>
      <c r="P20" s="20">
        <f ca="1">IF(OR(Basisdaten!C12="NEIN",'Plan-G&amp;V'!$Q$9&gt;0),-('Plan-G&amp;V'!P12+'Plan-G&amp;V'!P15)*Absatzplan!Q91-SUM('Plan-G&amp;V'!P25:P36)*20%+IF(Basisdaten!$E$7&gt;10,0,('Plan-G&amp;V'!N12+'Plan-G&amp;V'!N15)*Absatzplan!Q91+SUM('Plan-G&amp;V'!N25:N36)*20%),0)+IF(Basisdaten!$E$7=10,-SUM($E20:M20),0)</f>
        <v>-100</v>
      </c>
      <c r="Q20" s="135">
        <f ca="1">SUM(E20:P20)</f>
        <v>-278</v>
      </c>
      <c r="R20" s="135">
        <f ca="1">IF(OR(Basisdaten!C12="NEIN",AND('Plan-G&amp;V'!Q9&gt;0,'Plan-G&amp;V'!R9&gt;0)),(('Plan-G&amp;V'!Q12-'Plan-G&amp;V'!R12)*Absatzplan!R91+('Plan-G&amp;V'!Q25+'Plan-G&amp;V'!Q26+'Plan-G&amp;V'!Q35-'Plan-G&amp;V'!R25-'Plan-G&amp;V'!R26-'Plan-G&amp;V'!R35+SUM('Plan-G&amp;V'!Q28:Q32)-SUM('Plan-G&amp;V'!R28:R32))*20%)/12*2,IF('Plan-G&amp;V'!R9&gt;0,(-'Plan-G&amp;V'!R12*Absatzplan!R91-('Plan-G&amp;V'!R25+'Plan-G&amp;V'!R26+'Plan-G&amp;V'!R35+SUM('Plan-G&amp;V'!R28:R32))*20%)/12*2,0))+IF(Basisdaten!$E$7&gt;10,-SUM(E20:N20),0)</f>
        <v>-244.66666666666666</v>
      </c>
      <c r="S20" s="135">
        <f ca="1">IF(OR(Basisdaten!C12="NEIN",AND('Plan-G&amp;V'!R9&gt;0,'Plan-G&amp;V'!S9&gt;0)),(('Plan-G&amp;V'!R12-'Plan-G&amp;V'!S12)*Absatzplan!S91+('Plan-G&amp;V'!R25+'Plan-G&amp;V'!R26+'Plan-G&amp;V'!R35-'Plan-G&amp;V'!S25-'Plan-G&amp;V'!S26-'Plan-G&amp;V'!S35+SUM('Plan-G&amp;V'!R28:R32)-SUM('Plan-G&amp;V'!S28:S32))*20%)/12*2,IF('Plan-G&amp;V'!S9&gt;0,(-'Plan-G&amp;V'!S12*Absatzplan!S91-('Plan-G&amp;V'!S25+'Plan-G&amp;V'!S26+'Plan-G&amp;V'!S35+SUM('Plan-G&amp;V'!S28:S32))*20%)/12*2,0))</f>
        <v>-216.66666666666666</v>
      </c>
      <c r="T20" s="135">
        <f ca="1">IF(OR(Basisdaten!C12="NEIN",AND('Plan-G&amp;V'!S9&gt;0,'Plan-G&amp;V'!T9&gt;0)),(('Plan-G&amp;V'!S12-'Plan-G&amp;V'!T12)*Absatzplan!T91+('Plan-G&amp;V'!S25+'Plan-G&amp;V'!S26+'Plan-G&amp;V'!S35-'Plan-G&amp;V'!T25-'Plan-G&amp;V'!T26-'Plan-G&amp;V'!T35+SUM('Plan-G&amp;V'!S28:S32)-SUM('Plan-G&amp;V'!T28:T32))*20%)/12*2,IF('Plan-G&amp;V'!T9&gt;0,(-'Plan-G&amp;V'!T12*Absatzplan!T91-('Plan-G&amp;V'!T25+'Plan-G&amp;V'!T26+'Plan-G&amp;V'!T35+SUM('Plan-G&amp;V'!T28:T32))*20%)/12*2,0))</f>
        <v>-166.66666666666666</v>
      </c>
    </row>
    <row r="21" spans="1:20" ht="15" customHeight="1" x14ac:dyDescent="0.2">
      <c r="A21" s="364" t="s">
        <v>68</v>
      </c>
      <c r="B21" s="365"/>
      <c r="C21" s="357"/>
      <c r="D21" s="277">
        <f ca="1">(IF(Q21=0,0,IF(Q21&gt;0,1,-1)*(R21/(Q21/(13-Basisdaten!C$10)*12)-1))+IF(R21=0,0,IF(R21&gt;0,1,-1)*(S21/R21-1))+IF(S21=0,0,IF(S21&gt;0,1,-1)*(T21/S21-1)))/3</f>
        <v>1.3982003392162046</v>
      </c>
      <c r="E21" s="140">
        <f ca="1">SUM(E15:E20)</f>
        <v>0</v>
      </c>
      <c r="F21" s="138">
        <f ca="1">SUM(F15:F20)</f>
        <v>0</v>
      </c>
      <c r="G21" s="137">
        <f t="shared" ref="G21:T21" ca="1" si="3">SUM(G15:G20)</f>
        <v>0</v>
      </c>
      <c r="H21" s="141">
        <f t="shared" ca="1" si="3"/>
        <v>0</v>
      </c>
      <c r="I21" s="137">
        <f t="shared" ca="1" si="3"/>
        <v>0</v>
      </c>
      <c r="J21" s="137">
        <f t="shared" ca="1" si="3"/>
        <v>0</v>
      </c>
      <c r="K21" s="137">
        <f t="shared" ca="1" si="3"/>
        <v>0</v>
      </c>
      <c r="L21" s="137">
        <f t="shared" ca="1" si="3"/>
        <v>-2414</v>
      </c>
      <c r="M21" s="137">
        <f t="shared" ca="1" si="3"/>
        <v>-1994</v>
      </c>
      <c r="N21" s="137">
        <f t="shared" ca="1" si="3"/>
        <v>-1910</v>
      </c>
      <c r="O21" s="141">
        <f t="shared" ca="1" si="3"/>
        <v>-2248.3333333333335</v>
      </c>
      <c r="P21" s="141">
        <f t="shared" ca="1" si="3"/>
        <v>-2570</v>
      </c>
      <c r="Q21" s="136">
        <f ca="1">SUM(Q15:Q20)</f>
        <v>-11136.333333333334</v>
      </c>
      <c r="R21" s="136">
        <f t="shared" ca="1" si="3"/>
        <v>18466.866666666665</v>
      </c>
      <c r="S21" s="136">
        <f t="shared" ca="1" si="3"/>
        <v>59438.533333333333</v>
      </c>
      <c r="T21" s="139">
        <f t="shared" ca="1" si="3"/>
        <v>76378.733333333323</v>
      </c>
    </row>
    <row r="22" spans="1:20" ht="15" customHeight="1" x14ac:dyDescent="0.2">
      <c r="A22" s="367" t="s">
        <v>51</v>
      </c>
      <c r="B22" s="368"/>
      <c r="C22" s="357"/>
      <c r="D22" s="265">
        <f>-(IF(Q22=0,0,IF(Q22&gt;0,1,-1)*(R22/(Q22/(13-Basisdaten!C$10)*12)-1))+IF(R22=0,0,IF(R22&gt;0,1,-1)*(S22/R22-1))+IF(S22=0,0,IF(S22&gt;0,1,-1)*(T22/S22-1)))/3</f>
        <v>-0.33333333333333331</v>
      </c>
      <c r="E22" s="19">
        <f>-Investitionsplan!D23-IF(Investitionsplan!D10="Nettobeträge",SUM(Investitionsplan!D14:D22)*0.2,0)</f>
        <v>0</v>
      </c>
      <c r="F22" s="20">
        <f>-Investitionsplan!E23-IF(Investitionsplan!D10="Nettobeträge",SUM(Investitionsplan!E14:E22)*0.2,0)</f>
        <v>0</v>
      </c>
      <c r="G22" s="20">
        <f>-Investitionsplan!F23-IF(Investitionsplan!D10="Nettobeträge",SUM(Investitionsplan!F14:F22)*0.2+IF(Basisdaten!$E$7&gt;1,0,-SUM(Investitionsplan!D14:D22)*0.2),0)</f>
        <v>0</v>
      </c>
      <c r="H22" s="20">
        <f>-Investitionsplan!G23-IF(Investitionsplan!D10="Nettobeträge",SUM(Investitionsplan!G14:G22)*0.2+IF(Basisdaten!$E$7&gt;2,0,-SUM(Investitionsplan!E14:E22)*0.2)-IF(Basisdaten!$E$7=2,SUM(Investitionsplan!D14:D22)*0.2,0),0)</f>
        <v>0</v>
      </c>
      <c r="I22" s="20">
        <f>-Investitionsplan!H23-IF(Investitionsplan!D10="Nettobeträge",SUM(Investitionsplan!H14:H22)*0.2+IF(Basisdaten!$E$7&gt;3,0,-SUM(Investitionsplan!F14:F22)*0.2)-IF(Basisdaten!$E$7=3,SUM(Investitionsplan!D14:E22)*0.2,0),0)</f>
        <v>0</v>
      </c>
      <c r="J22" s="20">
        <f>-Investitionsplan!I23-IF(Investitionsplan!D10="Nettobeträge",SUM(Investitionsplan!I14:I22)*0.2+IF(Basisdaten!$E$7&gt;4,0,-SUM(Investitionsplan!G14:G22)*0.2)-IF(Basisdaten!$E$7=4,SUM(Investitionsplan!D14:F22)*0.2,0),0)</f>
        <v>0</v>
      </c>
      <c r="K22" s="20">
        <f>-Investitionsplan!J23-IF(Investitionsplan!D10="Nettobeträge",SUM(Investitionsplan!J14:J22)*0.2+IF(Basisdaten!$E$7&gt;5,0,-SUM(Investitionsplan!H14:H22)*0.2)-IF(Basisdaten!$E$7=5,SUM(Investitionsplan!D14:G22)*0.2,0),0)</f>
        <v>0</v>
      </c>
      <c r="L22" s="20">
        <f>-Investitionsplan!K23-IF(Investitionsplan!D10="Nettobeträge",SUM(Investitionsplan!K14:K22)*0.2+IF(Basisdaten!$E$7&gt;6,0,-SUM(Investitionsplan!I14:I22)*0.2)-IF(Basisdaten!$E$7=6,SUM(Investitionsplan!D14:H22)*0.2,0),0)</f>
        <v>-1800</v>
      </c>
      <c r="M22" s="20">
        <f>-Investitionsplan!L23-IF(Investitionsplan!D10="Nettobeträge",SUM(Investitionsplan!L14:L22)*0.2+IF(Basisdaten!$E$7&gt;7,0,-SUM(Investitionsplan!J14:J22)*0.2)-IF(Basisdaten!$E$7=7,SUM(Investitionsplan!D14:I22)*0.2,0),0)</f>
        <v>0</v>
      </c>
      <c r="N22" s="20">
        <f>-Investitionsplan!M23-IF(Investitionsplan!D10="Nettobeträge",SUM(Investitionsplan!M14:M22)*0.2+IF(Basisdaten!$E$7&gt;8,0,-SUM(Investitionsplan!K14:K22)*0.2)-IF(Basisdaten!$E$7=8,SUM(Investitionsplan!D14:J22)*0.2,0),0)</f>
        <v>300</v>
      </c>
      <c r="O22" s="20">
        <f>-Investitionsplan!N23-IF(Investitionsplan!D10="Nettobeträge",SUM(Investitionsplan!N14:N22)*0.2+IF(Basisdaten!$E$7&gt;9,0,-SUM(Investitionsplan!L14:L22)*0.2)-IF(Basisdaten!$E$7=9,SUM(Investitionsplan!D14:K22)*0.2,0),0)</f>
        <v>0</v>
      </c>
      <c r="P22" s="20">
        <f>-Investitionsplan!O23-IF(Investitionsplan!D10="Nettobeträge",SUM(Investitionsplan!O14:O22)*0.2+IF(Basisdaten!$E$7&gt;10,0,-SUM(Investitionsplan!M14:M22)*0.2)-IF(Basisdaten!$E$7=10,SUM(Investitionsplan!D14:L22)*0.2,0),0)</f>
        <v>0</v>
      </c>
      <c r="Q22" s="135">
        <f>SUM(E22:P22)</f>
        <v>-1500</v>
      </c>
      <c r="R22" s="22">
        <f>-Investitionsplan!R23-IF(Investitionsplan!R10="Nettobeträge",SUM(Investitionsplan!S14:S22)*0.2,0)+IF(Investitionsplan!D10="Nettobeträge",SUM(Investitionsplan!N14:O22)*0.2)</f>
        <v>0</v>
      </c>
      <c r="S22" s="22">
        <f>-Investitionsplan!T23-IF(Investitionsplan!T10="Nettobeträge",SUM(Investitionsplan!U14:U22)*0.2,0)+IF(Investitionsplan!R10="Nettobeträge",SUM(Investitionsplan!S14:S22)*0.2)</f>
        <v>0</v>
      </c>
      <c r="T22" s="22">
        <f>-Investitionsplan!V23-IF(Investitionsplan!V10="Nettobeträge",SUM(Investitionsplan!W14:W22)*0.2,0)+IF(Investitionsplan!T10="Nettobeträge",SUM(Investitionsplan!U14:U22)*0.2)</f>
        <v>0</v>
      </c>
    </row>
    <row r="23" spans="1:20" ht="15" customHeight="1" x14ac:dyDescent="0.2">
      <c r="A23" s="142" t="s">
        <v>67</v>
      </c>
      <c r="B23" s="143"/>
      <c r="C23" s="144"/>
      <c r="D23" s="277">
        <f ca="1">(IF(Q23=0,0,IF(Q23&gt;0,1,-1)*(R23/(Q23/(13-Basisdaten!C$10)*12)-1))+IF(R23=0,0,IF(R23&gt;0,1,-1)*(S23/R23-1))+IF(S23=0,0,IF(S23&gt;0,1,-1)*(T23/S23-1)))/3</f>
        <v>1.3708609580013904</v>
      </c>
      <c r="E23" s="140">
        <f ca="1">SUM(E21:E22)</f>
        <v>0</v>
      </c>
      <c r="F23" s="138">
        <f t="shared" ref="F23:R23" ca="1" si="4">SUM(F21:F22)</f>
        <v>0</v>
      </c>
      <c r="G23" s="137">
        <f t="shared" ca="1" si="4"/>
        <v>0</v>
      </c>
      <c r="H23" s="141">
        <f t="shared" ca="1" si="4"/>
        <v>0</v>
      </c>
      <c r="I23" s="137">
        <f t="shared" ca="1" si="4"/>
        <v>0</v>
      </c>
      <c r="J23" s="137">
        <f t="shared" ca="1" si="4"/>
        <v>0</v>
      </c>
      <c r="K23" s="137">
        <f t="shared" ca="1" si="4"/>
        <v>0</v>
      </c>
      <c r="L23" s="137">
        <f t="shared" ca="1" si="4"/>
        <v>-4214</v>
      </c>
      <c r="M23" s="137">
        <f ca="1">SUM(M21:M22)</f>
        <v>-1994</v>
      </c>
      <c r="N23" s="137">
        <f t="shared" ca="1" si="4"/>
        <v>-1610</v>
      </c>
      <c r="O23" s="141">
        <f t="shared" ca="1" si="4"/>
        <v>-2248.3333333333335</v>
      </c>
      <c r="P23" s="141">
        <f t="shared" ca="1" si="4"/>
        <v>-2570</v>
      </c>
      <c r="Q23" s="136">
        <f t="shared" ca="1" si="4"/>
        <v>-12636.333333333334</v>
      </c>
      <c r="R23" s="136">
        <f t="shared" ca="1" si="4"/>
        <v>18466.866666666665</v>
      </c>
      <c r="S23" s="136">
        <f ca="1">SUM(S21:S22)</f>
        <v>59438.533333333333</v>
      </c>
      <c r="T23" s="139">
        <f ca="1">SUM(T21:T22)</f>
        <v>76378.733333333323</v>
      </c>
    </row>
    <row r="24" spans="1:20" ht="15" customHeight="1" x14ac:dyDescent="0.2">
      <c r="A24" s="371" t="s">
        <v>32</v>
      </c>
      <c r="B24" s="303"/>
      <c r="C24" s="303"/>
      <c r="D24" s="241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6"/>
    </row>
    <row r="25" spans="1:20" ht="15" customHeight="1" x14ac:dyDescent="0.2">
      <c r="A25" s="372" t="s">
        <v>47</v>
      </c>
      <c r="B25" s="303"/>
      <c r="C25" s="303"/>
      <c r="D25" s="278">
        <f>(IF(Q25=0,0,IF(Q25&gt;0,1,-1)*(R25/(Q25/(13-Basisdaten!C$10)*12)-1))+IF(R25=0,0,IF(R25&gt;0,1,-1)*(S25/R25-1))+IF(S25=0,0,IF(S25&gt;0,1,-1)*(T25/S25-1)))/3</f>
        <v>-0.33333333333333331</v>
      </c>
      <c r="E25" s="19"/>
      <c r="F25" s="20"/>
      <c r="G25" s="20"/>
      <c r="H25" s="20"/>
      <c r="I25" s="20"/>
      <c r="J25" s="20"/>
      <c r="K25" s="20"/>
      <c r="L25" s="20">
        <v>15000</v>
      </c>
      <c r="M25" s="20"/>
      <c r="N25" s="20"/>
      <c r="O25" s="20"/>
      <c r="P25" s="21"/>
      <c r="Q25" s="135">
        <f>SUM(E25:P25)</f>
        <v>15000</v>
      </c>
      <c r="R25" s="22"/>
      <c r="S25" s="22"/>
      <c r="T25" s="22"/>
    </row>
    <row r="26" spans="1:20" ht="15" customHeight="1" x14ac:dyDescent="0.2">
      <c r="A26" s="231" t="s">
        <v>104</v>
      </c>
      <c r="B26" s="232"/>
      <c r="C26" s="232"/>
      <c r="D26" s="279">
        <f>0%</f>
        <v>0</v>
      </c>
      <c r="E26" s="19"/>
      <c r="F26" s="20"/>
      <c r="G26" s="20"/>
      <c r="H26" s="20"/>
      <c r="I26" s="20"/>
      <c r="J26" s="20"/>
      <c r="K26" s="20"/>
      <c r="L26" s="20">
        <f t="shared" ref="L26:P27" si="5">K26</f>
        <v>0</v>
      </c>
      <c r="M26" s="20">
        <v>0</v>
      </c>
      <c r="N26" s="20">
        <v>0</v>
      </c>
      <c r="O26" s="20">
        <v>0</v>
      </c>
      <c r="P26" s="21">
        <v>0</v>
      </c>
      <c r="Q26" s="135">
        <f t="shared" ref="Q26:Q27" si="6">SUM(E26:P26)</f>
        <v>0</v>
      </c>
      <c r="R26" s="22">
        <v>0</v>
      </c>
      <c r="S26" s="22">
        <v>0</v>
      </c>
      <c r="T26" s="22">
        <v>0</v>
      </c>
    </row>
    <row r="27" spans="1:20" ht="15" customHeight="1" x14ac:dyDescent="0.2">
      <c r="A27" s="231" t="s">
        <v>110</v>
      </c>
      <c r="B27" s="232"/>
      <c r="C27" s="232"/>
      <c r="D27" s="279">
        <f>0%</f>
        <v>0</v>
      </c>
      <c r="E27" s="19"/>
      <c r="F27" s="20"/>
      <c r="G27" s="20"/>
      <c r="H27" s="20"/>
      <c r="I27" s="20"/>
      <c r="J27" s="20"/>
      <c r="K27" s="20"/>
      <c r="L27" s="20">
        <f t="shared" si="5"/>
        <v>0</v>
      </c>
      <c r="M27" s="20">
        <f t="shared" si="5"/>
        <v>0</v>
      </c>
      <c r="N27" s="20">
        <f t="shared" si="5"/>
        <v>0</v>
      </c>
      <c r="O27" s="20">
        <f t="shared" si="5"/>
        <v>0</v>
      </c>
      <c r="P27" s="21">
        <f t="shared" si="5"/>
        <v>0</v>
      </c>
      <c r="Q27" s="135">
        <f t="shared" si="6"/>
        <v>0</v>
      </c>
      <c r="R27" s="22">
        <v>0</v>
      </c>
      <c r="S27" s="22">
        <v>0</v>
      </c>
      <c r="T27" s="22">
        <v>0</v>
      </c>
    </row>
    <row r="28" spans="1:20" ht="15" customHeight="1" x14ac:dyDescent="0.2">
      <c r="A28" s="233" t="s">
        <v>89</v>
      </c>
      <c r="B28" s="23">
        <v>0.05</v>
      </c>
      <c r="C28" s="29">
        <v>5</v>
      </c>
      <c r="D28" s="280">
        <f>(IF(Q28=0,0,IF(Q28&gt;0,1,-1)*(R28/(Q28/(COUNTIF(E28:P28,"&gt;0")+COUNTIF(E28:P28,"&lt;0"))*12)-1))+IF(R28=0,0,IF(R28&gt;0,1,-1)*(S28/R28-1))+IF(S28=0,0,IF(S28&gt;0,1,-1)*(T28/S28-1)))/3</f>
        <v>0</v>
      </c>
      <c r="E28" s="19"/>
      <c r="F28" s="20"/>
      <c r="G28" s="20"/>
      <c r="H28" s="20"/>
      <c r="I28" s="20"/>
      <c r="J28" s="20"/>
      <c r="K28" s="20"/>
      <c r="L28" s="20">
        <f>IF(AND($C28&gt;0,K28&gt;0),-K28/$C28/12,IF(C28=0,0,K28))</f>
        <v>0</v>
      </c>
      <c r="M28" s="20">
        <f>IF(AND($C28&gt;0,L28&gt;0),-L28/$C28/12,IF(C28=0,0,L28))</f>
        <v>0</v>
      </c>
      <c r="N28" s="20">
        <f>IF(AND($C28&gt;0,M28&gt;0),-M28/$C28/12,IF(C28=0,0,M28))</f>
        <v>0</v>
      </c>
      <c r="O28" s="20">
        <f>IF(AND($C28&gt;0,N28&gt;0),-N28/$C28/12,IF(C28=0,0,N28))</f>
        <v>0</v>
      </c>
      <c r="P28" s="21">
        <f>IF(AND($C28&gt;0,O28&gt;0),-O28/$C28/12,IF(C28=0,0,O28))</f>
        <v>0</v>
      </c>
      <c r="Q28" s="135">
        <f>SUM(E28:P28)</f>
        <v>0</v>
      </c>
      <c r="R28" s="22">
        <f>IF(AND(C28&gt;0,P28&gt;0),-P28/C28,IF(P28=Q28,0,IF(Q28+P28*12&lt;0,-Q28,P28*12)))</f>
        <v>0</v>
      </c>
      <c r="S28" s="22">
        <f>IF(R28&gt;0,IF(C28=0,0,IF(C28=1,-R28,-R28/(C28-0.5))),IF(R28=-Q28,0,IF(C28=2,-(R28+Q28),R28)))</f>
        <v>0</v>
      </c>
      <c r="T28" s="22">
        <f>IF(S28&gt;0,IF(C28=0,0,IF(C28=1,-S28,-S28/(C28-0.5))),IF(SUM(Q28:S28)=0,0,IF(OR(AND(C28=3,R28&lt;0),C28=2),-SUM(Q28:S28),S28)))</f>
        <v>0</v>
      </c>
    </row>
    <row r="29" spans="1:20" ht="15" customHeight="1" x14ac:dyDescent="0.2">
      <c r="A29" s="233" t="s">
        <v>90</v>
      </c>
      <c r="B29" s="23">
        <v>0.05</v>
      </c>
      <c r="C29" s="29">
        <v>5</v>
      </c>
      <c r="D29" s="280">
        <f>(IF(Q29=0,0,IF(Q29&gt;0,1,-1)*(R29/(Q29/(COUNTIF(E29:P29,"&gt;0")+COUNTIF(E29:P29,"&lt;0"))*12)-1))+IF(R29=0,0,IF(R29&gt;0,1,-1)*(S29/R29-1))+IF(S29=0,0,IF(S29&gt;0,1,-1)*(T29/S29-1)))/3</f>
        <v>0</v>
      </c>
      <c r="E29" s="19"/>
      <c r="F29" s="20"/>
      <c r="G29" s="20"/>
      <c r="H29" s="20"/>
      <c r="I29" s="20"/>
      <c r="J29" s="20"/>
      <c r="K29" s="20"/>
      <c r="L29" s="20">
        <f>IF(AND($C29&gt;0,K29&gt;0),-K29/$C29/12,IF(C29=0,0,K29))</f>
        <v>0</v>
      </c>
      <c r="M29" s="20">
        <f>IF(AND($C29&gt;0,L29&gt;0),-L29/$C29/12,IF(C29=0,0,L29))</f>
        <v>0</v>
      </c>
      <c r="N29" s="20">
        <f>IF(AND($C29&gt;0,M29&gt;0),-M29/$C29/12,IF(C29=0,0,M29))</f>
        <v>0</v>
      </c>
      <c r="O29" s="20">
        <f>IF(AND($C29&gt;0,N29&gt;0),-N29/$C29/12,IF(C29=0,0,N29))</f>
        <v>0</v>
      </c>
      <c r="P29" s="21">
        <f>IF(AND($C29&gt;0,O29&gt;0),-O29/$C29/12,IF(C29=0,0,O29))</f>
        <v>0</v>
      </c>
      <c r="Q29" s="135">
        <f>SUM(E29:P29)</f>
        <v>0</v>
      </c>
      <c r="R29" s="22">
        <f>IF(AND(C29&gt;0,P29&gt;0),-P29/C29,IF(P29=Q29,0,IF(Q29+P29*12&lt;0,-Q29,P29*12)))</f>
        <v>0</v>
      </c>
      <c r="S29" s="22">
        <f>IF(R29&gt;0,IF(C29=0,0,IF(C29=1,-R29,-R29/(C29-0.5))),IF(R29=-Q29,0,IF(C29=2,-(R29+Q29),R29)))</f>
        <v>0</v>
      </c>
      <c r="T29" s="22">
        <f>IF(S29&gt;0,IF(C29=0,0,IF(C29=1,-S29,-S29/(C29-0.5))),IF(SUM(Q29:S29)=0,0,IF(OR(AND(C29=3,R29&lt;0),C29=2),-SUM(Q29:S29),S29)))</f>
        <v>0</v>
      </c>
    </row>
    <row r="30" spans="1:20" ht="15" customHeight="1" x14ac:dyDescent="0.2">
      <c r="A30" s="302" t="s">
        <v>38</v>
      </c>
      <c r="B30" s="303"/>
      <c r="C30" s="303"/>
      <c r="D30" s="277">
        <f ca="1">(IF(Q30=0,0,IF(Q30&gt;0,1,-1)*(R30/(Q30/(13-Basisdaten!C$10)*12)-1))+IF(R30=0,0,IF(R30&gt;0,1,-1)*(S30/R30-1))+IF(S30=0,0,IF(S30&gt;0,1,-1)*(T30/S30-1)))/3</f>
        <v>1.5863324503388574</v>
      </c>
      <c r="E30" s="136">
        <f ca="1">E23+SUM(E25:E29)</f>
        <v>0</v>
      </c>
      <c r="F30" s="137">
        <f t="shared" ref="F30:T30" ca="1" si="7">F23+SUM(F25:F29)</f>
        <v>0</v>
      </c>
      <c r="G30" s="137">
        <f t="shared" ca="1" si="7"/>
        <v>0</v>
      </c>
      <c r="H30" s="137">
        <f t="shared" ca="1" si="7"/>
        <v>0</v>
      </c>
      <c r="I30" s="137">
        <f t="shared" ca="1" si="7"/>
        <v>0</v>
      </c>
      <c r="J30" s="137">
        <f t="shared" ca="1" si="7"/>
        <v>0</v>
      </c>
      <c r="K30" s="137">
        <f t="shared" ca="1" si="7"/>
        <v>0</v>
      </c>
      <c r="L30" s="137">
        <f t="shared" ca="1" si="7"/>
        <v>10786</v>
      </c>
      <c r="M30" s="137">
        <f t="shared" ca="1" si="7"/>
        <v>-1994</v>
      </c>
      <c r="N30" s="137">
        <f t="shared" ca="1" si="7"/>
        <v>-1610</v>
      </c>
      <c r="O30" s="137">
        <f t="shared" ca="1" si="7"/>
        <v>-2248.3333333333335</v>
      </c>
      <c r="P30" s="141">
        <f t="shared" ca="1" si="7"/>
        <v>-2570</v>
      </c>
      <c r="Q30" s="139">
        <f t="shared" ca="1" si="7"/>
        <v>2363.6666666666661</v>
      </c>
      <c r="R30" s="139">
        <f t="shared" ca="1" si="7"/>
        <v>18466.866666666665</v>
      </c>
      <c r="S30" s="139">
        <f t="shared" ca="1" si="7"/>
        <v>59438.533333333333</v>
      </c>
      <c r="T30" s="139">
        <f t="shared" ca="1" si="7"/>
        <v>76378.733333333323</v>
      </c>
    </row>
    <row r="31" spans="1:20" ht="15" customHeight="1" x14ac:dyDescent="0.2">
      <c r="A31" s="373" t="s">
        <v>35</v>
      </c>
      <c r="B31" s="374"/>
      <c r="C31" s="374"/>
      <c r="D31" s="249"/>
      <c r="E31" s="147"/>
      <c r="F31" s="147"/>
      <c r="G31" s="147"/>
      <c r="H31" s="147"/>
      <c r="I31" s="147"/>
      <c r="J31" s="147"/>
      <c r="K31" s="147"/>
      <c r="L31" s="147"/>
      <c r="M31" s="147"/>
      <c r="N31" s="147"/>
      <c r="O31" s="147"/>
      <c r="P31" s="147"/>
      <c r="Q31" s="147"/>
      <c r="R31" s="147"/>
      <c r="S31" s="147"/>
      <c r="T31" s="148"/>
    </row>
    <row r="32" spans="1:20" ht="15" customHeight="1" x14ac:dyDescent="0.2">
      <c r="A32" s="379" t="s">
        <v>21</v>
      </c>
      <c r="B32" s="377"/>
      <c r="C32" s="378"/>
      <c r="D32" s="279">
        <f>0%</f>
        <v>0</v>
      </c>
      <c r="E32" s="19"/>
      <c r="F32" s="20"/>
      <c r="G32" s="20"/>
      <c r="H32" s="20"/>
      <c r="I32" s="20"/>
      <c r="J32" s="20"/>
      <c r="K32" s="20"/>
      <c r="L32" s="20">
        <f t="shared" ref="L32:P32" si="8">K32</f>
        <v>0</v>
      </c>
      <c r="M32" s="20">
        <f t="shared" si="8"/>
        <v>0</v>
      </c>
      <c r="N32" s="20">
        <f t="shared" si="8"/>
        <v>0</v>
      </c>
      <c r="O32" s="20">
        <f t="shared" si="8"/>
        <v>0</v>
      </c>
      <c r="P32" s="21">
        <f t="shared" si="8"/>
        <v>0</v>
      </c>
      <c r="Q32" s="135">
        <f>SUM(E32:P32)</f>
        <v>0</v>
      </c>
      <c r="R32" s="22">
        <f>IF(Q32=0,0,Q32/(COUNTIF(E32:P32,"&gt;0")+COUNTIF(E32:P32,"&lt;0"))*12*(1+D32))</f>
        <v>0</v>
      </c>
      <c r="S32" s="22">
        <f>R32*(1+D32)</f>
        <v>0</v>
      </c>
      <c r="T32" s="22">
        <f>S32*(1+D32)</f>
        <v>0</v>
      </c>
    </row>
    <row r="33" spans="1:20" ht="15" customHeight="1" x14ac:dyDescent="0.2">
      <c r="A33" s="376" t="s">
        <v>52</v>
      </c>
      <c r="B33" s="377"/>
      <c r="C33" s="378"/>
      <c r="D33" s="279">
        <f>0%</f>
        <v>0</v>
      </c>
      <c r="E33" s="19"/>
      <c r="F33" s="20"/>
      <c r="G33" s="20"/>
      <c r="H33" s="20"/>
      <c r="I33" s="20"/>
      <c r="J33" s="20"/>
      <c r="K33" s="20"/>
      <c r="L33" s="20">
        <v>1100</v>
      </c>
      <c r="M33" s="20">
        <v>1100</v>
      </c>
      <c r="N33" s="20">
        <v>0</v>
      </c>
      <c r="O33" s="20">
        <v>0</v>
      </c>
      <c r="P33" s="21">
        <v>0</v>
      </c>
      <c r="Q33" s="135">
        <f>SUM(E33:P33)</f>
        <v>2200</v>
      </c>
      <c r="R33" s="22">
        <v>0</v>
      </c>
      <c r="S33" s="22">
        <v>0</v>
      </c>
      <c r="T33" s="22">
        <v>0</v>
      </c>
    </row>
    <row r="34" spans="1:20" ht="15" customHeight="1" x14ac:dyDescent="0.2">
      <c r="A34" s="381" t="s">
        <v>58</v>
      </c>
      <c r="B34" s="382"/>
      <c r="C34" s="382"/>
      <c r="D34" s="279">
        <f>0%</f>
        <v>0</v>
      </c>
      <c r="E34" s="19"/>
      <c r="F34" s="20"/>
      <c r="G34" s="20"/>
      <c r="H34" s="20"/>
      <c r="I34" s="20"/>
      <c r="J34" s="20"/>
      <c r="K34" s="20"/>
      <c r="L34" s="20">
        <f t="shared" ref="L34:P34" si="9">K34</f>
        <v>0</v>
      </c>
      <c r="M34" s="20">
        <f t="shared" si="9"/>
        <v>0</v>
      </c>
      <c r="N34" s="20">
        <f t="shared" si="9"/>
        <v>0</v>
      </c>
      <c r="O34" s="20">
        <f t="shared" si="9"/>
        <v>0</v>
      </c>
      <c r="P34" s="21">
        <f t="shared" si="9"/>
        <v>0</v>
      </c>
      <c r="Q34" s="135">
        <f>SUM(E34:P34)</f>
        <v>0</v>
      </c>
      <c r="R34" s="22">
        <f t="shared" ref="R34" si="10">IF(Q34=0,0,Q34/(COUNTIF(E34:P34,"&gt;0")+COUNTIF(E34:P34,"&lt;0"))*12*(1+D34))</f>
        <v>0</v>
      </c>
      <c r="S34" s="22">
        <f t="shared" ref="S34" si="11">R34*(1+D34)</f>
        <v>0</v>
      </c>
      <c r="T34" s="22">
        <v>0</v>
      </c>
    </row>
    <row r="35" spans="1:20" ht="15" customHeight="1" x14ac:dyDescent="0.2">
      <c r="A35" s="302" t="s">
        <v>36</v>
      </c>
      <c r="B35" s="375"/>
      <c r="C35" s="375"/>
      <c r="D35" s="277">
        <f ca="1">(IF(Q35=0,0,IF(Q35&gt;0,1,-1)*(R35/(Q35/(13-Basisdaten!C$10)*12)-1))+IF(R35=0,0,IF(R35&gt;0,1,-1)*(S35/R35-1))+IF(S35=0,0,IF(S35&gt;0,1,-1)*(T35/S35-1)))/3</f>
        <v>1.063234219113794</v>
      </c>
      <c r="E35" s="140">
        <f t="shared" ref="E35:T35" ca="1" si="12">E30+SUM(E32:E34)</f>
        <v>0</v>
      </c>
      <c r="F35" s="137">
        <f t="shared" ca="1" si="12"/>
        <v>0</v>
      </c>
      <c r="G35" s="137">
        <f t="shared" ca="1" si="12"/>
        <v>0</v>
      </c>
      <c r="H35" s="137">
        <f t="shared" ca="1" si="12"/>
        <v>0</v>
      </c>
      <c r="I35" s="137">
        <f t="shared" ca="1" si="12"/>
        <v>0</v>
      </c>
      <c r="J35" s="137">
        <f t="shared" ca="1" si="12"/>
        <v>0</v>
      </c>
      <c r="K35" s="137">
        <f t="shared" ca="1" si="12"/>
        <v>0</v>
      </c>
      <c r="L35" s="137">
        <f t="shared" ca="1" si="12"/>
        <v>11886</v>
      </c>
      <c r="M35" s="137">
        <f t="shared" ca="1" si="12"/>
        <v>-894</v>
      </c>
      <c r="N35" s="137">
        <f t="shared" ca="1" si="12"/>
        <v>-1610</v>
      </c>
      <c r="O35" s="137">
        <f t="shared" ca="1" si="12"/>
        <v>-2248.3333333333335</v>
      </c>
      <c r="P35" s="141">
        <f t="shared" ca="1" si="12"/>
        <v>-2570</v>
      </c>
      <c r="Q35" s="139">
        <f t="shared" ca="1" si="12"/>
        <v>4563.6666666666661</v>
      </c>
      <c r="R35" s="139">
        <f t="shared" ca="1" si="12"/>
        <v>18466.866666666665</v>
      </c>
      <c r="S35" s="139">
        <f t="shared" ca="1" si="12"/>
        <v>59438.533333333333</v>
      </c>
      <c r="T35" s="139">
        <f t="shared" ca="1" si="12"/>
        <v>76378.733333333323</v>
      </c>
    </row>
    <row r="36" spans="1:20" ht="15" customHeight="1" x14ac:dyDescent="0.2">
      <c r="A36" s="235" t="s">
        <v>37</v>
      </c>
      <c r="B36" s="383"/>
      <c r="C36" s="384"/>
      <c r="D36" s="277">
        <f ca="1">(IF(Q36=0,0,IF(Q36&gt;0,1,-1)*(R36/(Q36/(COUNTIF(E36:P36,"&gt;0")+COUNTIF(E36:P36,"&lt;0"))*12)-1))+IF(R36=0,0,IF(R36&gt;0,1,-1)*(S36/R36-1))+IF(S36=0,0,IF(S36&gt;0,1,-1)*(T36/S36-1)))/3</f>
        <v>1.5365717793655411</v>
      </c>
      <c r="E36" s="149">
        <f ca="1">B36+E35</f>
        <v>0</v>
      </c>
      <c r="F36" s="150">
        <f ca="1">E36+F35</f>
        <v>0</v>
      </c>
      <c r="G36" s="150">
        <f ca="1">+G35+F36</f>
        <v>0</v>
      </c>
      <c r="H36" s="150">
        <f t="shared" ref="H36:P36" ca="1" si="13">G36+H35</f>
        <v>0</v>
      </c>
      <c r="I36" s="150">
        <f t="shared" ca="1" si="13"/>
        <v>0</v>
      </c>
      <c r="J36" s="150">
        <f t="shared" ca="1" si="13"/>
        <v>0</v>
      </c>
      <c r="K36" s="150">
        <f t="shared" ca="1" si="13"/>
        <v>0</v>
      </c>
      <c r="L36" s="150">
        <f t="shared" ca="1" si="13"/>
        <v>11886</v>
      </c>
      <c r="M36" s="150">
        <f t="shared" ca="1" si="13"/>
        <v>10992</v>
      </c>
      <c r="N36" s="150">
        <f t="shared" ca="1" si="13"/>
        <v>9382</v>
      </c>
      <c r="O36" s="150">
        <f t="shared" ca="1" si="13"/>
        <v>7133.6666666666661</v>
      </c>
      <c r="P36" s="151">
        <f t="shared" ca="1" si="13"/>
        <v>4563.6666666666661</v>
      </c>
      <c r="Q36" s="152">
        <f ca="1">P36</f>
        <v>4563.6666666666661</v>
      </c>
      <c r="R36" s="152">
        <f ca="1">+Q36+R35</f>
        <v>23030.533333333333</v>
      </c>
      <c r="S36" s="152">
        <f ca="1">+R36+S35</f>
        <v>82469.066666666666</v>
      </c>
      <c r="T36" s="152">
        <f ca="1">+S36+T35</f>
        <v>158847.79999999999</v>
      </c>
    </row>
    <row r="37" spans="1:20" ht="15" customHeight="1" x14ac:dyDescent="0.2">
      <c r="A37" s="372" t="s">
        <v>45</v>
      </c>
      <c r="B37" s="380"/>
      <c r="C37" s="274">
        <v>0.1</v>
      </c>
      <c r="D37" s="278">
        <f>(IF(Q37=0,0,IF(Q37&gt;0,1,-1)*(R37/(Q37/(13-Basisdaten!C$10)*12)-1))+IF(R37=0,0,IF(R37&gt;0,1,-1)*(S37/R37-1))+IF(S37=0,0,IF(S37&gt;0,1,-1)*(T37/S37-1)))/3</f>
        <v>0</v>
      </c>
      <c r="E37" s="19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1"/>
      <c r="Q37" s="135">
        <f>P37</f>
        <v>0</v>
      </c>
      <c r="R37" s="22"/>
      <c r="S37" s="22"/>
      <c r="T37" s="22"/>
    </row>
    <row r="38" spans="1:20" ht="15" customHeight="1" thickBot="1" x14ac:dyDescent="0.25">
      <c r="A38" s="369" t="s">
        <v>46</v>
      </c>
      <c r="B38" s="370"/>
      <c r="C38" s="370"/>
      <c r="D38" s="281">
        <f ca="1">(IF(Q38=0,0,IF(Q38&gt;0,1,-1)*(R38/(Q38/(COUNTIF(E38:P38,"&gt;0")+COUNTIF(E38:P38,"&lt;0"))*12)-1))+IF(R38=0,0,IF(R38&gt;0,1,-1)*(S38/R38-1))+IF(S38=0,0,IF(S38&gt;0,1,-1)*(T38/S38-1)))/3</f>
        <v>1.5365717793655411</v>
      </c>
      <c r="E38" s="153">
        <f t="shared" ref="E38:T38" ca="1" si="14">+E37+E36</f>
        <v>0</v>
      </c>
      <c r="F38" s="154">
        <f t="shared" ca="1" si="14"/>
        <v>0</v>
      </c>
      <c r="G38" s="154">
        <f t="shared" ca="1" si="14"/>
        <v>0</v>
      </c>
      <c r="H38" s="154">
        <f t="shared" ca="1" si="14"/>
        <v>0</v>
      </c>
      <c r="I38" s="154">
        <f t="shared" ca="1" si="14"/>
        <v>0</v>
      </c>
      <c r="J38" s="154">
        <f t="shared" ca="1" si="14"/>
        <v>0</v>
      </c>
      <c r="K38" s="154">
        <f t="shared" ca="1" si="14"/>
        <v>0</v>
      </c>
      <c r="L38" s="154">
        <f t="shared" ca="1" si="14"/>
        <v>11886</v>
      </c>
      <c r="M38" s="154">
        <f t="shared" ca="1" si="14"/>
        <v>10992</v>
      </c>
      <c r="N38" s="154">
        <f t="shared" ca="1" si="14"/>
        <v>9382</v>
      </c>
      <c r="O38" s="154">
        <f t="shared" ca="1" si="14"/>
        <v>7133.6666666666661</v>
      </c>
      <c r="P38" s="155">
        <f t="shared" ca="1" si="14"/>
        <v>4563.6666666666661</v>
      </c>
      <c r="Q38" s="156">
        <f t="shared" ca="1" si="14"/>
        <v>4563.6666666666661</v>
      </c>
      <c r="R38" s="156">
        <f t="shared" ca="1" si="14"/>
        <v>23030.533333333333</v>
      </c>
      <c r="S38" s="156">
        <f t="shared" ca="1" si="14"/>
        <v>82469.066666666666</v>
      </c>
      <c r="T38" s="156">
        <f t="shared" ca="1" si="14"/>
        <v>158847.79999999999</v>
      </c>
    </row>
    <row r="39" spans="1:20" ht="15" customHeight="1" x14ac:dyDescent="0.2"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</row>
    <row r="40" spans="1:20" ht="15" customHeight="1" x14ac:dyDescent="0.2">
      <c r="A40" s="158"/>
      <c r="B40" s="158"/>
      <c r="C40" s="159"/>
      <c r="D40" s="159"/>
      <c r="E40" s="159"/>
      <c r="F40" s="160"/>
    </row>
    <row r="41" spans="1:20" ht="15" customHeight="1" x14ac:dyDescent="0.2">
      <c r="A41" s="158"/>
      <c r="B41" s="158"/>
      <c r="C41" s="159"/>
      <c r="D41" s="159"/>
      <c r="E41" s="159"/>
      <c r="F41" s="160"/>
    </row>
    <row r="42" spans="1:20" ht="15" customHeight="1" x14ac:dyDescent="0.2">
      <c r="A42" s="161"/>
      <c r="B42" s="161"/>
      <c r="C42" s="160"/>
      <c r="D42" s="160"/>
      <c r="E42" s="160"/>
    </row>
    <row r="43" spans="1:20" ht="15" customHeight="1" x14ac:dyDescent="0.2"/>
    <row r="44" spans="1:20" ht="15" customHeight="1" x14ac:dyDescent="0.2"/>
    <row r="45" spans="1:20" ht="15" customHeight="1" x14ac:dyDescent="0.2"/>
    <row r="46" spans="1:20" ht="15" customHeight="1" x14ac:dyDescent="0.2"/>
  </sheetData>
  <sheetProtection algorithmName="SHA-512" hashValue="f6rotln8nTbxrEEE5pnNG21bLfvOA1TxxvrtfVCBD7dCLjeO72vtTaFNrhVe5foibJmyS7+g0U4OBhknZQNEPg==" saltValue="DJVc9E1vg9CL0xPCp8CwjQ==" spinCount="100000" sheet="1" objects="1" scenarios="1"/>
  <mergeCells count="24">
    <mergeCell ref="A38:C38"/>
    <mergeCell ref="A22:C22"/>
    <mergeCell ref="A24:C24"/>
    <mergeCell ref="A25:C25"/>
    <mergeCell ref="A31:C31"/>
    <mergeCell ref="A35:C35"/>
    <mergeCell ref="A33:C33"/>
    <mergeCell ref="A32:C32"/>
    <mergeCell ref="A37:B37"/>
    <mergeCell ref="A34:C34"/>
    <mergeCell ref="A30:C30"/>
    <mergeCell ref="B36:C36"/>
    <mergeCell ref="A16:C16"/>
    <mergeCell ref="A10:C10"/>
    <mergeCell ref="A11:C11"/>
    <mergeCell ref="A21:C21"/>
    <mergeCell ref="A13:C13"/>
    <mergeCell ref="A18:C18"/>
    <mergeCell ref="A14:C14"/>
    <mergeCell ref="A20:C20"/>
    <mergeCell ref="A12:C12"/>
    <mergeCell ref="A15:C15"/>
    <mergeCell ref="A17:C17"/>
    <mergeCell ref="A19:C19"/>
  </mergeCells>
  <phoneticPr fontId="0" type="noConversion"/>
  <conditionalFormatting sqref="D17:P17">
    <cfRule type="expression" dxfId="28" priority="18">
      <formula>AND(FÜ=0,Leer=FALSE)</formula>
    </cfRule>
  </conditionalFormatting>
  <conditionalFormatting sqref="E10:E23 E32:E38">
    <cfRule type="expression" dxfId="27" priority="54" stopIfTrue="1">
      <formula>$A$5&gt;1</formula>
    </cfRule>
  </conditionalFormatting>
  <conditionalFormatting sqref="E25:E30">
    <cfRule type="expression" dxfId="26" priority="30" stopIfTrue="1">
      <formula>$A$5&gt;1</formula>
    </cfRule>
  </conditionalFormatting>
  <conditionalFormatting sqref="E19:P20 E25:P29 R25:T29 B28:C29 E32:P34 B36:C36 C37 E37:P37 R37:T37">
    <cfRule type="expression" dxfId="25" priority="19">
      <formula>AND(FÜ=0,Leer=FALSE)</formula>
    </cfRule>
  </conditionalFormatting>
  <conditionalFormatting sqref="E22:P22">
    <cfRule type="expression" dxfId="24" priority="4">
      <formula>AND(FÜ=0,Leer=FALSE)</formula>
    </cfRule>
  </conditionalFormatting>
  <conditionalFormatting sqref="F10:F23 F32:F38">
    <cfRule type="expression" dxfId="23" priority="53" stopIfTrue="1">
      <formula>$A$5&gt;2</formula>
    </cfRule>
  </conditionalFormatting>
  <conditionalFormatting sqref="F25:F30">
    <cfRule type="expression" dxfId="22" priority="29" stopIfTrue="1">
      <formula>$A$5&gt;2</formula>
    </cfRule>
  </conditionalFormatting>
  <conditionalFormatting sqref="G10:G23 G32:G38">
    <cfRule type="expression" dxfId="21" priority="52" stopIfTrue="1">
      <formula>$A$5&gt;3</formula>
    </cfRule>
  </conditionalFormatting>
  <conditionalFormatting sqref="G25:G30">
    <cfRule type="expression" dxfId="20" priority="28" stopIfTrue="1">
      <formula>$A$5&gt;3</formula>
    </cfRule>
  </conditionalFormatting>
  <conditionalFormatting sqref="H10:H23 H32:H38">
    <cfRule type="expression" dxfId="19" priority="51" stopIfTrue="1">
      <formula>$A$5&gt;4</formula>
    </cfRule>
  </conditionalFormatting>
  <conditionalFormatting sqref="H25:H30">
    <cfRule type="expression" dxfId="18" priority="27" stopIfTrue="1">
      <formula>$A$5&gt;4</formula>
    </cfRule>
  </conditionalFormatting>
  <conditionalFormatting sqref="I10:I23 I32:I38">
    <cfRule type="expression" dxfId="17" priority="50" stopIfTrue="1">
      <formula>$A$5&gt;5</formula>
    </cfRule>
  </conditionalFormatting>
  <conditionalFormatting sqref="I25:I30">
    <cfRule type="expression" dxfId="16" priority="26" stopIfTrue="1">
      <formula>$A$5&gt;5</formula>
    </cfRule>
  </conditionalFormatting>
  <conditionalFormatting sqref="J10:J23 J32:J38">
    <cfRule type="expression" dxfId="15" priority="49" stopIfTrue="1">
      <formula>$A$5&gt;6</formula>
    </cfRule>
  </conditionalFormatting>
  <conditionalFormatting sqref="J25:J30">
    <cfRule type="expression" dxfId="14" priority="25" stopIfTrue="1">
      <formula>$A$5&gt;6</formula>
    </cfRule>
  </conditionalFormatting>
  <conditionalFormatting sqref="K10:K23 K32:K38">
    <cfRule type="expression" dxfId="13" priority="48" stopIfTrue="1">
      <formula>$A$5&gt;7</formula>
    </cfRule>
  </conditionalFormatting>
  <conditionalFormatting sqref="K25:K30">
    <cfRule type="expression" dxfId="12" priority="24" stopIfTrue="1">
      <formula>$A$5&gt;7</formula>
    </cfRule>
  </conditionalFormatting>
  <conditionalFormatting sqref="L10:L23 L32:L38">
    <cfRule type="expression" dxfId="11" priority="47" stopIfTrue="1">
      <formula>$A$5&gt;8</formula>
    </cfRule>
  </conditionalFormatting>
  <conditionalFormatting sqref="L25:L30">
    <cfRule type="expression" dxfId="10" priority="23" stopIfTrue="1">
      <formula>$A$5&gt;8</formula>
    </cfRule>
  </conditionalFormatting>
  <conditionalFormatting sqref="M10:M23 M32:M38">
    <cfRule type="expression" dxfId="9" priority="46" stopIfTrue="1">
      <formula>$A$5&gt;9</formula>
    </cfRule>
  </conditionalFormatting>
  <conditionalFormatting sqref="M25:M30">
    <cfRule type="expression" dxfId="8" priority="22" stopIfTrue="1">
      <formula>$A$5&gt;9</formula>
    </cfRule>
  </conditionalFormatting>
  <conditionalFormatting sqref="N10:N23 N32:N38">
    <cfRule type="expression" dxfId="7" priority="45" stopIfTrue="1">
      <formula>$A$5&gt;10</formula>
    </cfRule>
  </conditionalFormatting>
  <conditionalFormatting sqref="N25:N30">
    <cfRule type="expression" dxfId="6" priority="21" stopIfTrue="1">
      <formula>$A$5&gt;10</formula>
    </cfRule>
  </conditionalFormatting>
  <conditionalFormatting sqref="O10:O23 O32:O38">
    <cfRule type="expression" dxfId="5" priority="44" stopIfTrue="1">
      <formula>$A$5&gt;11</formula>
    </cfRule>
  </conditionalFormatting>
  <conditionalFormatting sqref="O25:O30">
    <cfRule type="expression" dxfId="4" priority="20" stopIfTrue="1">
      <formula>$A$5&gt;11</formula>
    </cfRule>
  </conditionalFormatting>
  <conditionalFormatting sqref="P10:P38">
    <cfRule type="expression" dxfId="3" priority="31" stopIfTrue="1">
      <formula>$A$5&gt;12</formula>
    </cfRule>
  </conditionalFormatting>
  <conditionalFormatting sqref="R17:T17">
    <cfRule type="expression" dxfId="2" priority="17">
      <formula>AND(FÜ=0,Leer=FALSE)</formula>
    </cfRule>
  </conditionalFormatting>
  <conditionalFormatting sqref="R22:T22">
    <cfRule type="expression" dxfId="1" priority="1">
      <formula>AND(FÜ=0,Leer=FALSE)</formula>
    </cfRule>
  </conditionalFormatting>
  <conditionalFormatting sqref="R32:T34">
    <cfRule type="expression" dxfId="0" priority="16">
      <formula>AND(FÜ=0,Leer=FALSE)</formula>
    </cfRule>
  </conditionalFormatting>
  <pageMargins left="0.43307086614173229" right="0.19685039370078741" top="0.98425196850393704" bottom="0.98425196850393704" header="0.51181102362204722" footer="0.51181102362204722"/>
  <pageSetup paperSize="9" scale="63" orientation="landscape" r:id="rId1"/>
  <headerFooter alignWithMargins="0">
    <oddFooter>&amp;L&amp;F&amp;CDiese Tabelle wurde mit Sorgfalt erstellt, dient aber lediglich als Arbeitshilfe.
Für Schäden, welche direkt oder indirekt aus deren Verwendung entstehen, wird keine Haftung übernommen!&amp;R&amp;D, 5/9   &amp;G</oddFooter>
  </headerFooter>
  <drawing r:id="rId2"/>
  <legacyDrawing r:id="rId3"/>
  <legacyDrawingHF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pageSetUpPr fitToPage="1"/>
  </sheetPr>
  <dimension ref="A2:A3"/>
  <sheetViews>
    <sheetView zoomScale="61" zoomScaleNormal="61" zoomScalePageLayoutView="50" workbookViewId="0">
      <selection activeCell="A2" sqref="A2"/>
    </sheetView>
  </sheetViews>
  <sheetFormatPr baseColWidth="10" defaultColWidth="10.85546875" defaultRowHeight="15" customHeight="1" x14ac:dyDescent="0.2"/>
  <sheetData>
    <row r="2" spans="1:1" ht="15" customHeight="1" x14ac:dyDescent="0.2">
      <c r="A2" s="48" t="str">
        <f>Absatzplan!A3</f>
        <v>Absatzplanung</v>
      </c>
    </row>
    <row r="3" spans="1:1" ht="15" customHeight="1" x14ac:dyDescent="0.2">
      <c r="A3" s="48" t="str">
        <f>Absatzplan!A4</f>
        <v>ANAMNIC GmbH</v>
      </c>
    </row>
  </sheetData>
  <sheetProtection algorithmName="SHA-512" hashValue="Bc+ysFKvJU8Surp5q/i0gaMIYEwmbE+wOdhgAxrPuC9DlyfeLgcN+uGDFXNfVOg/H8JAiKqsiCopQ0b+Bbm1oQ==" saltValue="/RkAuI9dGIWVbF8aqtvoXw==" spinCount="100000" sheet="1" objects="1" scenarios="1"/>
  <pageMargins left="0.23622047244094491" right="0" top="0" bottom="0" header="0" footer="0"/>
  <pageSetup paperSize="9" scale="64" fitToHeight="0" orientation="landscape" r:id="rId1"/>
  <headerFooter>
    <oddFooter>&amp;L&amp;F&amp;CDiese Tabelle wurde mit Sorgfalt erstellt, dient aber lediglich als Arbeitshilfe.
Für Schäden, welche direkt oder indirekt aus deren Verwendung entstehen, wird keine Haftung übernommen!&amp;R&amp;D, 6/9   &amp;G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>
    <pageSetUpPr fitToPage="1"/>
  </sheetPr>
  <dimension ref="A1:A5"/>
  <sheetViews>
    <sheetView zoomScale="61" zoomScaleNormal="61" zoomScalePageLayoutView="50" workbookViewId="0">
      <selection activeCell="A2" sqref="A2"/>
    </sheetView>
  </sheetViews>
  <sheetFormatPr baseColWidth="10" defaultColWidth="10.85546875" defaultRowHeight="15" customHeight="1" x14ac:dyDescent="0.2"/>
  <sheetData>
    <row r="1" spans="1:1" ht="14.25" customHeight="1" x14ac:dyDescent="0.2"/>
    <row r="2" spans="1:1" ht="15" customHeight="1" x14ac:dyDescent="0.2">
      <c r="A2" s="48" t="str">
        <f>'Plan-G&amp;V'!A3</f>
        <v>Plan-Gewinn- und Verlustrechnung</v>
      </c>
    </row>
    <row r="3" spans="1:1" ht="15" customHeight="1" x14ac:dyDescent="0.2">
      <c r="A3" s="48" t="str">
        <f>'Plan-G&amp;V'!A4</f>
        <v>ANAMNIC GmbH</v>
      </c>
    </row>
    <row r="5" spans="1:1" ht="29.45" customHeight="1" x14ac:dyDescent="0.2"/>
  </sheetData>
  <sheetProtection algorithmName="SHA-512" hashValue="UNUpr5IzhY5DrXAl9nuzhohxVkHYIrp6itCM8qWnxQIjp67T42FmFidYioxaNH2oM9uW2oinl57o9ebXDahnrA==" saltValue="qcrt++l9pI8Vk1/3wAAHdQ==" spinCount="100000" sheet="1" objects="1" scenarios="1"/>
  <pageMargins left="0.23622047244094491" right="0" top="0" bottom="0" header="0" footer="0"/>
  <pageSetup paperSize="9" scale="64" fitToHeight="0" orientation="landscape" r:id="rId1"/>
  <headerFooter>
    <oddFooter>&amp;L&amp;F&amp;CDiese Tabelle wurde mit Sorgfalt erstellt, dient aber lediglich als Arbeitshilfe.
Für Schäden, welche direkt oder indirekt aus deren Verwendung entstehen, wird keine Haftung übernommen!&amp;R&amp;D, 7/9   &amp;G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pageSetUpPr fitToPage="1"/>
  </sheetPr>
  <dimension ref="A2:A3"/>
  <sheetViews>
    <sheetView zoomScale="61" zoomScaleNormal="61" zoomScalePageLayoutView="50" workbookViewId="0">
      <selection activeCell="A2" sqref="A2"/>
    </sheetView>
  </sheetViews>
  <sheetFormatPr baseColWidth="10" defaultColWidth="10.85546875" defaultRowHeight="15" customHeight="1" x14ac:dyDescent="0.2"/>
  <sheetData>
    <row r="2" spans="1:1" ht="15" customHeight="1" x14ac:dyDescent="0.2">
      <c r="A2" s="48" t="str">
        <f>Investitionsplan!A8</f>
        <v>Investitionsplan</v>
      </c>
    </row>
    <row r="3" spans="1:1" ht="15" customHeight="1" x14ac:dyDescent="0.2">
      <c r="A3" s="48" t="str">
        <f>Investitionsplan!A9</f>
        <v>ANAMNIC GmbH</v>
      </c>
    </row>
  </sheetData>
  <sheetProtection algorithmName="SHA-512" hashValue="Fvi+IA5UopLLpGpse4W6s/mzQKLlkCf2gN443DZyRYOnyEbi6PqafCpkBvZAxAsqKx8GLcR8dfSJFJ/Pfwpw6w==" saltValue="2tzSQC95+khvS/pPLRo+qw==" spinCount="100000" sheet="1" objects="1" scenarios="1"/>
  <pageMargins left="0.23622047244094491" right="0" top="0" bottom="0" header="0" footer="0"/>
  <pageSetup paperSize="9" scale="64" fitToHeight="0" orientation="landscape" r:id="rId1"/>
  <headerFooter>
    <oddFooter>&amp;L&amp;F&amp;CDiese Tabelle wurde mit Sorgfalt erstellt, dient aber lediglich als Arbeitshilfe.
Für Schäden, welche direkt oder indirekt aus deren Verwendung entstehen, wird keine Haftung übernommen!&amp;R&amp;D, 8/9   &amp;G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2:A3"/>
  <sheetViews>
    <sheetView zoomScale="61" zoomScaleNormal="61" zoomScalePageLayoutView="50" workbookViewId="0">
      <selection activeCell="A2" sqref="A2"/>
    </sheetView>
  </sheetViews>
  <sheetFormatPr baseColWidth="10" defaultColWidth="10.85546875" defaultRowHeight="15" customHeight="1" x14ac:dyDescent="0.2"/>
  <sheetData>
    <row r="2" spans="1:1" ht="15" customHeight="1" x14ac:dyDescent="0.2">
      <c r="A2" s="48" t="str">
        <f>Finanzplan!A6</f>
        <v>Finanzierungsplan</v>
      </c>
    </row>
    <row r="3" spans="1:1" ht="15" customHeight="1" x14ac:dyDescent="0.2">
      <c r="A3" s="48" t="str">
        <f>Finanzplan!A7</f>
        <v>ANAMNIC GmbH</v>
      </c>
    </row>
  </sheetData>
  <sheetProtection algorithmName="SHA-512" hashValue="bpMVV/4/kQ4x5o3/QyJx9/27044nsQFlkrauWKWUr+OxQdvZxPXWF8SuvtIEKbwRMa+fUqPTNABZVD5LWNpWWA==" saltValue="J2+boWlrmXs9hZcuG3f0Kw==" spinCount="100000" sheet="1" objects="1" scenarios="1"/>
  <pageMargins left="0.23622047244094491" right="0" top="0" bottom="0" header="0" footer="0"/>
  <pageSetup paperSize="9" scale="64" fitToHeight="0" orientation="landscape" r:id="rId1"/>
  <headerFooter>
    <oddFooter>&amp;L&amp;F&amp;CDiese Tabelle wurde mit Sorgfalt erstellt, dient aber lediglich als Arbeitshilfe.
Für Schäden, welche direkt oder indirekt aus deren Verwendung entstehen, wird keine Haftung übernommen!&amp;R&amp;D, 9/9   &amp;G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3</vt:i4>
      </vt:variant>
    </vt:vector>
  </HeadingPairs>
  <TitlesOfParts>
    <vt:vector size="12" baseType="lpstr">
      <vt:lpstr>Basisdaten</vt:lpstr>
      <vt:lpstr>Absatzplan</vt:lpstr>
      <vt:lpstr>Plan-G&amp;V</vt:lpstr>
      <vt:lpstr>Investitionsplan</vt:lpstr>
      <vt:lpstr>Finanzplan</vt:lpstr>
      <vt:lpstr>AP</vt:lpstr>
      <vt:lpstr>P-GV</vt:lpstr>
      <vt:lpstr>IP</vt:lpstr>
      <vt:lpstr>FP</vt:lpstr>
      <vt:lpstr>Absatzplan!Druckbereich</vt:lpstr>
      <vt:lpstr>Finanzplan!Druckbereich</vt:lpstr>
      <vt:lpstr>'Plan-G&amp;V'!Druckbereich</vt:lpstr>
    </vt:vector>
  </TitlesOfParts>
  <Company>RIZ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Pfaffel</dc:creator>
  <cp:lastModifiedBy>Fehringer Michaela</cp:lastModifiedBy>
  <cp:lastPrinted>2025-04-28T13:29:18Z</cp:lastPrinted>
  <dcterms:created xsi:type="dcterms:W3CDTF">2006-04-11T10:43:09Z</dcterms:created>
  <dcterms:modified xsi:type="dcterms:W3CDTF">2026-03-16T09:57:29Z</dcterms:modified>
</cp:coreProperties>
</file>